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5"/>
    <sheet state="visible" name="Rep Tracker" sheetId="2" r:id="rId6"/>
    <sheet state="visible" name="Increment Schedule" sheetId="3" r:id="rId7"/>
  </sheets>
  <definedNames/>
  <calcPr/>
</workbook>
</file>

<file path=xl/sharedStrings.xml><?xml version="1.0" encoding="utf-8"?>
<sst xmlns="http://schemas.openxmlformats.org/spreadsheetml/2006/main" count="91" uniqueCount="86">
  <si>
    <t>ASCENDRA BIO — Commission Plan Specification</t>
  </si>
  <si>
    <t>Retroactive whole-amount climb: the commission rate is determined by month-to-date sales and applied to ALL sales for the period. Crossing each of 15 status tiers triggers a one-time bonus.</t>
  </si>
  <si>
    <t>PLAN PARAMETERS  ·  configurable values (admin portal)</t>
  </si>
  <si>
    <t>Starting Rate (first $10K band)</t>
  </si>
  <si>
    <t>Rate applied when sales are in the first $10K increment (band 1).</t>
  </si>
  <si>
    <t>Rate at $1,000,000</t>
  </si>
  <si>
    <t>Target rate when sales reach $1M. Rate interpolates linearly between Starting Rate and this value across $0–$1M.</t>
  </si>
  <si>
    <t>Rate at $2,000,000</t>
  </si>
  <si>
    <t>Target rate when sales reach $2M. Rate interpolates linearly between Rate@$1M and this value across $1M–$2M. Plateaus at this rate above $2M.</t>
  </si>
  <si>
    <t>Checkpoint Increment</t>
  </si>
  <si>
    <t>Size of each rate-climb band ($10,000).</t>
  </si>
  <si>
    <t>STATUS TIERS  ·  configurable list (admin portal)</t>
  </si>
  <si>
    <t>Tier ID</t>
  </si>
  <si>
    <t>Status Name</t>
  </si>
  <si>
    <t>Threshold (sales reach ≥ $)</t>
  </si>
  <si>
    <t>Crossing Bonus ($)</t>
  </si>
  <si>
    <t>Associate</t>
  </si>
  <si>
    <t>Tier 1 (Associate) has a $0 threshold and no bonus — it represents the starting state. Tiers 2–15 are crossed in order as month-to-date sales reach each threshold; the crossing bonus pays once per period.</t>
  </si>
  <si>
    <t>Account Executive</t>
  </si>
  <si>
    <t>Senior Account Executive</t>
  </si>
  <si>
    <t>Account Director</t>
  </si>
  <si>
    <t>Senior Account Director</t>
  </si>
  <si>
    <t>Sales Director</t>
  </si>
  <si>
    <t>Senior Sales Director</t>
  </si>
  <si>
    <t>Vice President</t>
  </si>
  <si>
    <t>President's Circle</t>
  </si>
  <si>
    <t>Chairman's Circle</t>
  </si>
  <si>
    <t>Pinnacle</t>
  </si>
  <si>
    <t>CALCULATION LOGIC  ·  for backend implementation</t>
  </si>
  <si>
    <t>Step</t>
  </si>
  <si>
    <t>Pseudocode</t>
  </si>
  <si>
    <t>1. Determine band</t>
  </si>
  <si>
    <t>band = MAX(1, CEILING(sales / checkpoint_increment))</t>
  </si>
  <si>
    <t>2. Compute commission rate</t>
  </si>
  <si>
    <t>IF band ≤ 100:  rate = starting_rate + (rate_at_1m - starting_rate) × (band - 1) / 99</t>
  </si>
  <si>
    <t>ELSE IF band ≤ 200:  rate = rate_at_1m + (rate_at_2m - rate_at_1m) × (band - 100) / 100</t>
  </si>
  <si>
    <t>ELSE:  rate = rate_at_2m</t>
  </si>
  <si>
    <t>3. Commission</t>
  </si>
  <si>
    <t>commission = sales × rate</t>
  </si>
  <si>
    <t>4. Sum bonuses earned</t>
  </si>
  <si>
    <t>bonus_total = SUM(bonus[i]  FOR i IN tiers  WHERE threshold[i] ≤ sales)</t>
  </si>
  <si>
    <t>5. Total payout</t>
  </si>
  <si>
    <t>total_payout = commission + bonus_total</t>
  </si>
  <si>
    <t>6. Effective rate (display)</t>
  </si>
  <si>
    <t>effective_rate = total_payout / sales   (when sales &gt; 0)</t>
  </si>
  <si>
    <t>7. Current status</t>
  </si>
  <si>
    <t>status = name of highest-id tier where threshold ≤ sales</t>
  </si>
  <si>
    <t>VERIFICATION TABLE  ·  expected outputs for unit testing</t>
  </si>
  <si>
    <t>Sales (input)</t>
  </si>
  <si>
    <t>Status</t>
  </si>
  <si>
    <t>Rate</t>
  </si>
  <si>
    <t>Commission</t>
  </si>
  <si>
    <t>Bonus</t>
  </si>
  <si>
    <t>Total Payout</t>
  </si>
  <si>
    <t>Effective Rate</t>
  </si>
  <si>
    <t>Rep Tracker</t>
  </si>
  <si>
    <t>Sample dashboard view for a rep. Edit the yellow Month-to-Date Sales cell to recalculate.</t>
  </si>
  <si>
    <t>Rep Name</t>
  </si>
  <si>
    <t>Jordan Rivera</t>
  </si>
  <si>
    <t>Month-to-Date Sales</t>
  </si>
  <si>
    <t>WHERE YOU ARE NOW</t>
  </si>
  <si>
    <t>Current Status</t>
  </si>
  <si>
    <t>Current Rate (applies to ALL sales)</t>
  </si>
  <si>
    <t>Commission (Sales × Current Rate)</t>
  </si>
  <si>
    <t>Status Bonuses Earned</t>
  </si>
  <si>
    <t>TOTAL PAYOUT</t>
  </si>
  <si>
    <t>PROGRESS TO NEXT STATUS</t>
  </si>
  <si>
    <t>Next Status</t>
  </si>
  <si>
    <t>Progress</t>
  </si>
  <si>
    <t>Sales to Next Status</t>
  </si>
  <si>
    <t>Bonus Waiting There</t>
  </si>
  <si>
    <t>MILESTONE FORECAST  ·  what you'd earn at the next 5 status levels</t>
  </si>
  <si>
    <t>Sales Target</t>
  </si>
  <si>
    <t>Total Payout at That Level</t>
  </si>
  <si>
    <t>More $ Than Now</t>
  </si>
  <si>
    <t>Sales To Get There</t>
  </si>
  <si>
    <t>Note: Because the rate climbs and applies to total sales-to-date (retroactive whole-amount), every additional $10K closed re-rates everything sold so far. That is why 'More $ Than Now' grows faster than 'Sales To Get There' as the rep climbs.</t>
  </si>
  <si>
    <t>Increment Schedule — every $10K of sales, with status, rate, and cumulative payout</t>
  </si>
  <si>
    <t>Each row represents one $10K band of sales. The rate climbs band-by-band and applies to the rep's entire balance, so each new band also produces a re-rate uplift on prior sales. Gold rows = a status bonus fires.</t>
  </si>
  <si>
    <t>#</t>
  </si>
  <si>
    <t>Sales ($)</t>
  </si>
  <si>
    <t>New $10K Earns</t>
  </si>
  <si>
    <t>Re-rate Uplift on Prior</t>
  </si>
  <si>
    <t>Status Bonus</t>
  </si>
  <si>
    <t>Δ Payout (this step)</t>
  </si>
  <si>
    <t>cum bonus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</si>
</sst>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%;\(0.00%\);\-"/>
    <numFmt numFmtId="165" formatCode="\$#,##0;&quot;($&quot;#,##0\);\-"/>
    <numFmt numFmtId="166" formatCode="\$#,##0.00;&quot;($&quot;#,##0.00\);\-"/>
  </numFmts>
  <fonts count="20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595959"/>
      <name val="Arial"/>
    </font>
    <font>
      <b/>
      <sz val="12.0"/>
      <color rgb="FFFFFFFF"/>
      <name val="Arial"/>
    </font>
    <font>
      <b/>
      <sz val="11.0"/>
      <color rgb="FF000000"/>
      <name val="Arial"/>
    </font>
    <font>
      <b/>
      <sz val="11.0"/>
      <color rgb="FF0000FF"/>
      <name val="Arial"/>
    </font>
    <font>
      <i/>
      <sz val="9.0"/>
      <color rgb="FFA6A6A6"/>
      <name val="Arial"/>
    </font>
    <font>
      <b/>
      <sz val="11.0"/>
      <color rgb="FFFFFFFF"/>
      <name val="Arial"/>
    </font>
    <font>
      <sz val="11.0"/>
      <color theme="1"/>
      <name val="Calibri"/>
    </font>
    <font>
      <sz val="11.0"/>
      <color rgb="FF000000"/>
      <name val="Arial"/>
    </font>
    <font>
      <i/>
      <sz val="11.0"/>
      <color rgb="FF595959"/>
      <name val="Arial"/>
    </font>
    <font>
      <sz val="11.0"/>
      <color rgb="FF0000FF"/>
      <name val="Arial"/>
    </font>
    <font>
      <sz val="10.0"/>
      <color rgb="FF000000"/>
      <name val="Consolas"/>
    </font>
    <font>
      <sz val="11.0"/>
      <color rgb="FF008000"/>
      <name val="Arial"/>
    </font>
    <font>
      <b/>
      <sz val="15.0"/>
      <color rgb="FF1F6B1F"/>
      <name val="Arial"/>
    </font>
    <font>
      <b/>
      <sz val="11.0"/>
      <color rgb="FF008000"/>
      <name val="Arial"/>
    </font>
    <font>
      <b/>
      <sz val="13.0"/>
      <color rgb="FF1F6B1F"/>
      <name val="Arial"/>
    </font>
    <font>
      <b/>
      <sz val="12.0"/>
      <color rgb="FF1F6B1F"/>
      <name val="Arial"/>
    </font>
    <font>
      <b/>
      <sz val="11.0"/>
      <color rgb="FFC55A1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D7D"/>
        <bgColor rgb="FF2E7D7D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EDF6EC"/>
        <bgColor rgb="FFEDF6E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4" fillId="4" fontId="6" numFmtId="164" xfId="0" applyAlignment="1" applyBorder="1" applyFill="1" applyFont="1" applyNumberFormat="1">
      <alignment horizontal="center" shrinkToFit="0" vertical="center" wrapText="0"/>
    </xf>
    <xf borderId="0" fillId="0" fontId="7" numFmtId="0" xfId="0" applyAlignment="1" applyFont="1">
      <alignment horizontal="left" shrinkToFit="0" vertical="center" wrapText="1"/>
    </xf>
    <xf borderId="4" fillId="4" fontId="6" numFmtId="165" xfId="0" applyAlignment="1" applyBorder="1" applyFont="1" applyNumberFormat="1">
      <alignment horizontal="center" shrinkToFit="0" vertical="center" wrapText="0"/>
    </xf>
    <xf borderId="4" fillId="2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shrinkToFit="0" vertical="bottom" wrapText="0"/>
    </xf>
    <xf borderId="4" fillId="5" fontId="5" numFmtId="0" xfId="0" applyAlignment="1" applyBorder="1" applyFill="1" applyFont="1">
      <alignment horizontal="center" shrinkToFit="0" vertical="center" wrapText="0"/>
    </xf>
    <xf borderId="4" fillId="6" fontId="6" numFmtId="0" xfId="0" applyAlignment="1" applyBorder="1" applyFill="1" applyFont="1">
      <alignment horizontal="left" shrinkToFit="0" vertical="center" wrapText="0"/>
    </xf>
    <xf borderId="4" fillId="0" fontId="10" numFmtId="165" xfId="0" applyAlignment="1" applyBorder="1" applyFont="1" applyNumberFormat="1">
      <alignment horizontal="right" shrinkToFit="0" vertical="center" wrapText="0"/>
    </xf>
    <xf borderId="4" fillId="0" fontId="11" numFmtId="165" xfId="0" applyAlignment="1" applyBorder="1" applyFont="1" applyNumberFormat="1">
      <alignment horizontal="right" shrinkToFit="0" vertical="center" wrapText="0"/>
    </xf>
    <xf borderId="4" fillId="0" fontId="12" numFmtId="165" xfId="0" applyAlignment="1" applyBorder="1" applyFont="1" applyNumberFormat="1">
      <alignment horizontal="right" shrinkToFit="0" vertical="center" wrapText="0"/>
    </xf>
    <xf borderId="4" fillId="2" fontId="8" numFmtId="0" xfId="0" applyAlignment="1" applyBorder="1" applyFont="1">
      <alignment horizontal="left" shrinkToFit="0" vertical="center" wrapText="0"/>
    </xf>
    <xf borderId="5" fillId="2" fontId="8" numFmtId="0" xfId="0" applyAlignment="1" applyBorder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7" fontId="5" numFmtId="0" xfId="0" applyAlignment="1" applyBorder="1" applyFill="1" applyFont="1">
      <alignment horizontal="left" shrinkToFit="0" vertical="center" wrapText="0"/>
    </xf>
    <xf borderId="5" fillId="0" fontId="13" numFmtId="0" xfId="0" applyAlignment="1" applyBorder="1" applyFont="1">
      <alignment horizontal="left" shrinkToFit="0" vertical="center" wrapText="0"/>
    </xf>
    <xf borderId="4" fillId="0" fontId="10" numFmtId="0" xfId="0" applyAlignment="1" applyBorder="1" applyFont="1">
      <alignment horizontal="left" shrinkToFit="0" vertical="center" wrapText="0"/>
    </xf>
    <xf borderId="4" fillId="0" fontId="14" numFmtId="164" xfId="0" applyAlignment="1" applyBorder="1" applyFont="1" applyNumberFormat="1">
      <alignment horizontal="center" shrinkToFit="0" vertical="center" wrapText="0"/>
    </xf>
    <xf borderId="4" fillId="0" fontId="10" numFmtId="166" xfId="0" applyAlignment="1" applyBorder="1" applyFont="1" applyNumberFormat="1">
      <alignment horizontal="right" shrinkToFit="0" vertical="center" wrapText="0"/>
    </xf>
    <xf borderId="4" fillId="8" fontId="5" numFmtId="166" xfId="0" applyAlignment="1" applyBorder="1" applyFill="1" applyFont="1" applyNumberFormat="1">
      <alignment horizontal="right" shrinkToFit="0" vertical="center" wrapText="0"/>
    </xf>
    <xf borderId="4" fillId="0" fontId="10" numFmtId="164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5" fillId="0" fontId="12" numFmtId="0" xfId="0" applyAlignment="1" applyBorder="1" applyFont="1">
      <alignment horizontal="left" shrinkToFit="0" vertical="center" wrapText="0"/>
    </xf>
    <xf borderId="4" fillId="4" fontId="6" numFmtId="165" xfId="0" applyAlignment="1" applyBorder="1" applyFont="1" applyNumberFormat="1">
      <alignment horizontal="right" readingOrder="0" shrinkToFit="0" vertical="center" wrapText="0"/>
    </xf>
    <xf borderId="5" fillId="7" fontId="15" numFmtId="0" xfId="0" applyAlignment="1" applyBorder="1" applyFont="1">
      <alignment horizontal="left" shrinkToFit="0" vertical="center" wrapText="0"/>
    </xf>
    <xf borderId="5" fillId="0" fontId="16" numFmtId="164" xfId="0" applyAlignment="1" applyBorder="1" applyFont="1" applyNumberFormat="1">
      <alignment horizontal="right" shrinkToFit="0" vertical="center" wrapText="0"/>
    </xf>
    <xf borderId="5" fillId="0" fontId="5" numFmtId="166" xfId="0" applyAlignment="1" applyBorder="1" applyFont="1" applyNumberFormat="1">
      <alignment horizontal="right" shrinkToFit="0" vertical="center" wrapText="0"/>
    </xf>
    <xf borderId="5" fillId="8" fontId="17" numFmtId="166" xfId="0" applyAlignment="1" applyBorder="1" applyFont="1" applyNumberFormat="1">
      <alignment horizontal="right" shrinkToFit="0" vertical="center" wrapText="0"/>
    </xf>
    <xf borderId="5" fillId="0" fontId="5" numFmtId="164" xfId="0" applyAlignment="1" applyBorder="1" applyFont="1" applyNumberFormat="1">
      <alignment horizontal="right" shrinkToFit="0" vertical="center" wrapText="0"/>
    </xf>
    <xf borderId="5" fillId="0" fontId="5" numFmtId="0" xfId="0" applyAlignment="1" applyBorder="1" applyFont="1">
      <alignment horizontal="left" shrinkToFit="0" vertical="center" wrapText="0"/>
    </xf>
    <xf borderId="5" fillId="9" fontId="18" numFmtId="0" xfId="0" applyAlignment="1" applyBorder="1" applyFill="1" applyFont="1">
      <alignment horizontal="left" shrinkToFit="0" vertical="center" wrapText="0"/>
    </xf>
    <xf borderId="5" fillId="0" fontId="5" numFmtId="165" xfId="0" applyAlignment="1" applyBorder="1" applyFont="1" applyNumberFormat="1">
      <alignment horizontal="right" shrinkToFit="0" vertical="center" wrapText="0"/>
    </xf>
    <xf borderId="0" fillId="0" fontId="19" numFmtId="0" xfId="0" applyAlignment="1" applyFont="1">
      <alignment horizontal="left" shrinkToFit="0" vertical="center" wrapText="1"/>
    </xf>
    <xf borderId="4" fillId="0" fontId="5" numFmtId="166" xfId="0" applyAlignment="1" applyBorder="1" applyFont="1" applyNumberFormat="1">
      <alignment horizontal="right" shrinkToFit="0" vertical="center" wrapText="0"/>
    </xf>
    <xf borderId="4" fillId="8" fontId="16" numFmtId="166" xfId="0" applyAlignment="1" applyBorder="1" applyFont="1" applyNumberFormat="1">
      <alignment horizontal="right" shrinkToFit="0" vertical="center" wrapText="0"/>
    </xf>
    <xf borderId="0" fillId="0" fontId="7" numFmtId="0" xfId="0" applyAlignment="1" applyFont="1">
      <alignment shrinkToFit="0" vertical="bottom" wrapText="0"/>
    </xf>
    <xf borderId="4" fillId="0" fontId="10" numFmtId="0" xfId="0" applyAlignment="1" applyBorder="1" applyFont="1">
      <alignment horizontal="center" shrinkToFit="0" vertical="center" wrapText="0"/>
    </xf>
    <xf borderId="4" fillId="0" fontId="19" numFmtId="166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FFE699"/>
          <bgColor rgb="FFFFE6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4" width="15.0"/>
    <col customWidth="1" min="5" max="5" width="12.0"/>
    <col customWidth="1" min="6" max="6" width="16.0"/>
    <col customWidth="1" min="7" max="7" width="14.0"/>
    <col customWidth="1" min="8" max="8" width="30.0"/>
    <col customWidth="1" min="9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 ht="33.75" customHeight="1">
      <c r="A2" s="4" t="s">
        <v>1</v>
      </c>
    </row>
    <row r="4" ht="21.75" customHeight="1">
      <c r="A4" s="5" t="s">
        <v>2</v>
      </c>
      <c r="B4" s="2"/>
      <c r="C4" s="2"/>
      <c r="D4" s="2"/>
      <c r="E4" s="2"/>
      <c r="F4" s="2"/>
      <c r="G4" s="2"/>
      <c r="H4" s="3"/>
    </row>
    <row r="5" ht="15.0" customHeight="1">
      <c r="A5" s="6" t="s">
        <v>3</v>
      </c>
      <c r="C5" s="7">
        <v>0.08</v>
      </c>
      <c r="D5" s="8" t="s">
        <v>4</v>
      </c>
    </row>
    <row r="6" ht="15.0" customHeight="1">
      <c r="A6" s="6" t="s">
        <v>5</v>
      </c>
      <c r="C6" s="7">
        <v>0.14</v>
      </c>
      <c r="D6" s="8" t="s">
        <v>6</v>
      </c>
    </row>
    <row r="7" ht="21.75" customHeight="1">
      <c r="A7" s="6" t="s">
        <v>7</v>
      </c>
      <c r="C7" s="7">
        <v>0.15</v>
      </c>
      <c r="D7" s="8" t="s">
        <v>8</v>
      </c>
    </row>
    <row r="8" ht="15.0" customHeight="1">
      <c r="A8" s="6" t="s">
        <v>9</v>
      </c>
      <c r="C8" s="9">
        <v>10000.0</v>
      </c>
      <c r="D8" s="8" t="s">
        <v>10</v>
      </c>
    </row>
    <row r="11" ht="21.75" customHeight="1">
      <c r="A11" s="5" t="s">
        <v>11</v>
      </c>
      <c r="B11" s="2"/>
      <c r="C11" s="2"/>
      <c r="D11" s="2"/>
      <c r="E11" s="2"/>
      <c r="F11" s="2"/>
      <c r="G11" s="2"/>
      <c r="H11" s="3"/>
    </row>
    <row r="12" ht="31.5" customHeight="1">
      <c r="A12" s="10" t="s">
        <v>12</v>
      </c>
      <c r="B12" s="10" t="s">
        <v>13</v>
      </c>
      <c r="C12" s="10" t="s">
        <v>14</v>
      </c>
      <c r="D12" s="10" t="s">
        <v>15</v>
      </c>
      <c r="E12" s="11"/>
      <c r="F12" s="11"/>
      <c r="G12" s="11"/>
      <c r="H12" s="11"/>
    </row>
    <row r="13" ht="15.0" customHeight="1">
      <c r="A13" s="12">
        <v>1.0</v>
      </c>
      <c r="B13" s="13" t="s">
        <v>16</v>
      </c>
      <c r="C13" s="14">
        <v>0.0</v>
      </c>
      <c r="D13" s="15">
        <v>0.0</v>
      </c>
      <c r="F13" s="8" t="s">
        <v>17</v>
      </c>
    </row>
    <row r="14">
      <c r="A14" s="12">
        <v>2.0</v>
      </c>
      <c r="B14" s="13" t="s">
        <v>18</v>
      </c>
      <c r="C14" s="16">
        <v>50000.0</v>
      </c>
      <c r="D14" s="16">
        <v>1000.0</v>
      </c>
    </row>
    <row r="15">
      <c r="A15" s="12">
        <v>3.0</v>
      </c>
      <c r="B15" s="13" t="s">
        <v>19</v>
      </c>
      <c r="C15" s="16">
        <v>130000.0</v>
      </c>
      <c r="D15" s="16">
        <v>1500.0</v>
      </c>
    </row>
    <row r="16">
      <c r="A16" s="12">
        <v>4.0</v>
      </c>
      <c r="B16" s="13" t="s">
        <v>20</v>
      </c>
      <c r="C16" s="16">
        <v>230000.0</v>
      </c>
      <c r="D16" s="16">
        <v>2000.0</v>
      </c>
    </row>
    <row r="17">
      <c r="A17" s="12">
        <v>5.0</v>
      </c>
      <c r="B17" s="13" t="s">
        <v>21</v>
      </c>
      <c r="C17" s="16">
        <v>350000.0</v>
      </c>
      <c r="D17" s="16">
        <v>2500.0</v>
      </c>
    </row>
    <row r="18">
      <c r="A18" s="12">
        <v>6.0</v>
      </c>
      <c r="B18" s="13" t="s">
        <v>22</v>
      </c>
      <c r="C18" s="16">
        <v>500000.0</v>
      </c>
      <c r="D18" s="16">
        <v>3000.0</v>
      </c>
    </row>
    <row r="19">
      <c r="A19" s="12">
        <v>7.0</v>
      </c>
      <c r="B19" s="13" t="s">
        <v>23</v>
      </c>
      <c r="C19" s="16">
        <v>700000.0</v>
      </c>
      <c r="D19" s="16">
        <v>4000.0</v>
      </c>
    </row>
    <row r="20">
      <c r="A20" s="12">
        <v>8.0</v>
      </c>
      <c r="B20" s="13" t="s">
        <v>24</v>
      </c>
      <c r="C20" s="16">
        <v>950000.0</v>
      </c>
      <c r="D20" s="16">
        <v>5000.0</v>
      </c>
    </row>
    <row r="21" ht="15.75" customHeight="1">
      <c r="A21" s="12">
        <v>9.0</v>
      </c>
      <c r="B21" s="13" t="s">
        <v>25</v>
      </c>
      <c r="C21" s="16">
        <v>1250000.0</v>
      </c>
      <c r="D21" s="16">
        <v>7500.0</v>
      </c>
    </row>
    <row r="22" ht="15.75" customHeight="1">
      <c r="A22" s="12">
        <v>10.0</v>
      </c>
      <c r="B22" s="13" t="s">
        <v>26</v>
      </c>
      <c r="C22" s="16">
        <v>1600000.0</v>
      </c>
      <c r="D22" s="16">
        <v>10000.0</v>
      </c>
    </row>
    <row r="23" ht="15.75" customHeight="1">
      <c r="A23" s="12">
        <v>11.0</v>
      </c>
      <c r="B23" s="13" t="s">
        <v>27</v>
      </c>
      <c r="C23" s="16">
        <v>2000000.0</v>
      </c>
      <c r="D23" s="16">
        <v>15000.0</v>
      </c>
    </row>
    <row r="24" ht="15.75" customHeight="1"/>
    <row r="25" ht="21.75" hidden="1" customHeight="1">
      <c r="A25" s="5" t="s">
        <v>28</v>
      </c>
      <c r="B25" s="2"/>
      <c r="C25" s="2"/>
      <c r="D25" s="2"/>
      <c r="E25" s="2"/>
      <c r="F25" s="2"/>
      <c r="G25" s="2"/>
      <c r="H25" s="3"/>
    </row>
    <row r="26" ht="21.75" hidden="1" customHeight="1">
      <c r="A26" s="17" t="s">
        <v>29</v>
      </c>
      <c r="B26" s="18" t="s">
        <v>30</v>
      </c>
      <c r="C26" s="19"/>
      <c r="D26" s="19"/>
      <c r="E26" s="19"/>
      <c r="F26" s="19"/>
      <c r="G26" s="19"/>
      <c r="H26" s="20"/>
    </row>
    <row r="27" ht="15.75" hidden="1" customHeight="1">
      <c r="A27" s="21" t="s">
        <v>31</v>
      </c>
      <c r="B27" s="22" t="s">
        <v>32</v>
      </c>
      <c r="C27" s="19"/>
      <c r="D27" s="19"/>
      <c r="E27" s="19"/>
      <c r="F27" s="19"/>
      <c r="G27" s="19"/>
      <c r="H27" s="19"/>
    </row>
    <row r="28" ht="15.75" hidden="1" customHeight="1">
      <c r="A28" s="21" t="s">
        <v>33</v>
      </c>
      <c r="B28" s="22" t="s">
        <v>34</v>
      </c>
      <c r="C28" s="19"/>
      <c r="D28" s="19"/>
      <c r="E28" s="19"/>
      <c r="F28" s="19"/>
      <c r="G28" s="19"/>
      <c r="H28" s="19"/>
    </row>
    <row r="29" ht="15.75" hidden="1" customHeight="1">
      <c r="A29" s="21"/>
      <c r="B29" s="22" t="s">
        <v>35</v>
      </c>
      <c r="C29" s="19"/>
      <c r="D29" s="19"/>
      <c r="E29" s="19"/>
      <c r="F29" s="19"/>
      <c r="G29" s="19"/>
      <c r="H29" s="19"/>
    </row>
    <row r="30" ht="15.75" hidden="1" customHeight="1">
      <c r="A30" s="21"/>
      <c r="B30" s="22" t="s">
        <v>36</v>
      </c>
      <c r="C30" s="19"/>
      <c r="D30" s="19"/>
      <c r="E30" s="19"/>
      <c r="F30" s="19"/>
      <c r="G30" s="19"/>
      <c r="H30" s="19"/>
    </row>
    <row r="31" ht="15.75" hidden="1" customHeight="1">
      <c r="A31" s="21" t="s">
        <v>37</v>
      </c>
      <c r="B31" s="22" t="s">
        <v>38</v>
      </c>
      <c r="C31" s="19"/>
      <c r="D31" s="19"/>
      <c r="E31" s="19"/>
      <c r="F31" s="19"/>
      <c r="G31" s="19"/>
      <c r="H31" s="19"/>
    </row>
    <row r="32" ht="15.75" hidden="1" customHeight="1">
      <c r="A32" s="21" t="s">
        <v>39</v>
      </c>
      <c r="B32" s="22" t="s">
        <v>40</v>
      </c>
      <c r="C32" s="19"/>
      <c r="D32" s="19"/>
      <c r="E32" s="19"/>
      <c r="F32" s="19"/>
      <c r="G32" s="19"/>
      <c r="H32" s="19"/>
    </row>
    <row r="33" ht="15.75" hidden="1" customHeight="1">
      <c r="A33" s="21" t="s">
        <v>41</v>
      </c>
      <c r="B33" s="22" t="s">
        <v>42</v>
      </c>
      <c r="C33" s="19"/>
      <c r="D33" s="19"/>
      <c r="E33" s="19"/>
      <c r="F33" s="19"/>
      <c r="G33" s="19"/>
      <c r="H33" s="19"/>
    </row>
    <row r="34" ht="15.75" hidden="1" customHeight="1">
      <c r="A34" s="21" t="s">
        <v>43</v>
      </c>
      <c r="B34" s="22" t="s">
        <v>44</v>
      </c>
      <c r="C34" s="19"/>
      <c r="D34" s="19"/>
      <c r="E34" s="19"/>
      <c r="F34" s="19"/>
      <c r="G34" s="19"/>
      <c r="H34" s="19"/>
    </row>
    <row r="35" ht="15.75" hidden="1" customHeight="1">
      <c r="A35" s="21" t="s">
        <v>45</v>
      </c>
      <c r="B35" s="22" t="s">
        <v>46</v>
      </c>
      <c r="C35" s="19"/>
      <c r="D35" s="19"/>
      <c r="E35" s="19"/>
      <c r="F35" s="19"/>
      <c r="G35" s="19"/>
      <c r="H35" s="19"/>
    </row>
    <row r="36" ht="15.75" customHeight="1"/>
    <row r="37" ht="15.75" customHeight="1"/>
    <row r="38" ht="21.75" customHeight="1">
      <c r="A38" s="5" t="s">
        <v>47</v>
      </c>
      <c r="B38" s="2"/>
      <c r="C38" s="2"/>
      <c r="D38" s="2"/>
      <c r="E38" s="2"/>
      <c r="F38" s="2"/>
      <c r="G38" s="2"/>
      <c r="H38" s="3"/>
    </row>
    <row r="39" ht="30.0" customHeight="1">
      <c r="A39" s="10" t="s">
        <v>48</v>
      </c>
      <c r="B39" s="10" t="s">
        <v>49</v>
      </c>
      <c r="C39" s="10" t="s">
        <v>50</v>
      </c>
      <c r="D39" s="10" t="s">
        <v>51</v>
      </c>
      <c r="E39" s="10" t="s">
        <v>52</v>
      </c>
      <c r="F39" s="10" t="s">
        <v>53</v>
      </c>
      <c r="G39" s="10" t="s">
        <v>54</v>
      </c>
    </row>
    <row r="40" ht="15.75" customHeight="1">
      <c r="A40" s="14">
        <v>0.0</v>
      </c>
      <c r="B40" s="23" t="str">
        <f t="shared" ref="B40:B55" si="1">IF(A40=0,INDEX($B$13:$B$23,1),INDEX($B$13:$B$23,MATCH(A40,$C$13:$C$23,1)))</f>
        <v>Associate</v>
      </c>
      <c r="C40" s="24">
        <f t="shared" ref="C40:C55" si="2">IF(A40=0,$C$5,IF(MAX(1,CEILING(A40/$C$8,1))&lt;=100,$C$5+($C$6-$C$5)*(MAX(1,CEILING(A40/$C$8,1))-1)/99,IF(MAX(1,CEILING(A40/$C$8,1))&lt;=200,$C$6+($C$7-$C$6)*(MAX(1,CEILING(A40/$C$8,1))-100)/100,$C$7)))</f>
        <v>0.08</v>
      </c>
      <c r="D40" s="25">
        <f t="shared" ref="D40:D55" si="3">A40*C40</f>
        <v>0</v>
      </c>
      <c r="E40" s="14">
        <f t="shared" ref="E40:E55" si="4">SUMPRODUCT((A40&gt;=$C$13:$C$23)*$D$13:$D$23)</f>
        <v>0</v>
      </c>
      <c r="F40" s="26">
        <f t="shared" ref="F40:F55" si="5">D40+E40</f>
        <v>0</v>
      </c>
      <c r="G40" s="27" t="str">
        <f t="shared" ref="G40:G55" si="6">IF(A40=0,"—",F40/A40)</f>
        <v>—</v>
      </c>
    </row>
    <row r="41" ht="15.75" customHeight="1">
      <c r="A41" s="14">
        <v>10000.0</v>
      </c>
      <c r="B41" s="23" t="str">
        <f t="shared" si="1"/>
        <v>Associate</v>
      </c>
      <c r="C41" s="24">
        <f t="shared" si="2"/>
        <v>0.08</v>
      </c>
      <c r="D41" s="25">
        <f t="shared" si="3"/>
        <v>800</v>
      </c>
      <c r="E41" s="14">
        <f t="shared" si="4"/>
        <v>0</v>
      </c>
      <c r="F41" s="26">
        <f t="shared" si="5"/>
        <v>800</v>
      </c>
      <c r="G41" s="27">
        <f t="shared" si="6"/>
        <v>0.08</v>
      </c>
    </row>
    <row r="42" ht="15.75" customHeight="1">
      <c r="A42" s="14">
        <v>50000.0</v>
      </c>
      <c r="B42" s="23" t="str">
        <f t="shared" si="1"/>
        <v>Account Executive</v>
      </c>
      <c r="C42" s="24">
        <f t="shared" si="2"/>
        <v>0.08242424242</v>
      </c>
      <c r="D42" s="25">
        <f t="shared" si="3"/>
        <v>4121.212121</v>
      </c>
      <c r="E42" s="14">
        <f t="shared" si="4"/>
        <v>1000</v>
      </c>
      <c r="F42" s="26">
        <f t="shared" si="5"/>
        <v>5121.212121</v>
      </c>
      <c r="G42" s="27">
        <f t="shared" si="6"/>
        <v>0.1024242424</v>
      </c>
    </row>
    <row r="43" ht="15.75" customHeight="1">
      <c r="A43" s="14">
        <v>100000.0</v>
      </c>
      <c r="B43" s="23" t="str">
        <f t="shared" si="1"/>
        <v>Account Executive</v>
      </c>
      <c r="C43" s="24">
        <f t="shared" si="2"/>
        <v>0.08545454545</v>
      </c>
      <c r="D43" s="25">
        <f t="shared" si="3"/>
        <v>8545.454545</v>
      </c>
      <c r="E43" s="14">
        <f t="shared" si="4"/>
        <v>1000</v>
      </c>
      <c r="F43" s="26">
        <f t="shared" si="5"/>
        <v>9545.454545</v>
      </c>
      <c r="G43" s="27">
        <f t="shared" si="6"/>
        <v>0.09545454545</v>
      </c>
    </row>
    <row r="44" ht="15.75" customHeight="1">
      <c r="A44" s="14">
        <v>130000.0</v>
      </c>
      <c r="B44" s="23" t="str">
        <f t="shared" si="1"/>
        <v>Senior Account Executive</v>
      </c>
      <c r="C44" s="24">
        <f t="shared" si="2"/>
        <v>0.08727272727</v>
      </c>
      <c r="D44" s="25">
        <f t="shared" si="3"/>
        <v>11345.45455</v>
      </c>
      <c r="E44" s="14">
        <f t="shared" si="4"/>
        <v>2500</v>
      </c>
      <c r="F44" s="26">
        <f t="shared" si="5"/>
        <v>13845.45455</v>
      </c>
      <c r="G44" s="27">
        <f t="shared" si="6"/>
        <v>0.1065034965</v>
      </c>
    </row>
    <row r="45" ht="15.75" customHeight="1">
      <c r="A45" s="14">
        <v>230000.0</v>
      </c>
      <c r="B45" s="23" t="str">
        <f t="shared" si="1"/>
        <v>Account Director</v>
      </c>
      <c r="C45" s="24">
        <f t="shared" si="2"/>
        <v>0.09333333333</v>
      </c>
      <c r="D45" s="25">
        <f t="shared" si="3"/>
        <v>21466.66667</v>
      </c>
      <c r="E45" s="14">
        <f t="shared" si="4"/>
        <v>4500</v>
      </c>
      <c r="F45" s="26">
        <f t="shared" si="5"/>
        <v>25966.66667</v>
      </c>
      <c r="G45" s="27">
        <f t="shared" si="6"/>
        <v>0.1128985507</v>
      </c>
    </row>
    <row r="46" ht="15.75" customHeight="1">
      <c r="A46" s="14">
        <v>350000.0</v>
      </c>
      <c r="B46" s="23" t="str">
        <f t="shared" si="1"/>
        <v>Senior Account Director</v>
      </c>
      <c r="C46" s="24">
        <f t="shared" si="2"/>
        <v>0.1006060606</v>
      </c>
      <c r="D46" s="25">
        <f t="shared" si="3"/>
        <v>35212.12121</v>
      </c>
      <c r="E46" s="14">
        <f t="shared" si="4"/>
        <v>7000</v>
      </c>
      <c r="F46" s="26">
        <f t="shared" si="5"/>
        <v>42212.12121</v>
      </c>
      <c r="G46" s="27">
        <f t="shared" si="6"/>
        <v>0.1206060606</v>
      </c>
    </row>
    <row r="47" ht="15.75" customHeight="1">
      <c r="A47" s="14">
        <v>500000.0</v>
      </c>
      <c r="B47" s="23" t="str">
        <f t="shared" si="1"/>
        <v>Sales Director</v>
      </c>
      <c r="C47" s="24">
        <f t="shared" si="2"/>
        <v>0.1096969697</v>
      </c>
      <c r="D47" s="25">
        <f t="shared" si="3"/>
        <v>54848.48485</v>
      </c>
      <c r="E47" s="14">
        <f t="shared" si="4"/>
        <v>10000</v>
      </c>
      <c r="F47" s="26">
        <f t="shared" si="5"/>
        <v>64848.48485</v>
      </c>
      <c r="G47" s="27">
        <f t="shared" si="6"/>
        <v>0.1296969697</v>
      </c>
    </row>
    <row r="48" ht="15.75" customHeight="1">
      <c r="A48" s="14">
        <v>700000.0</v>
      </c>
      <c r="B48" s="23" t="str">
        <f t="shared" si="1"/>
        <v>Senior Sales Director</v>
      </c>
      <c r="C48" s="24">
        <f t="shared" si="2"/>
        <v>0.1218181818</v>
      </c>
      <c r="D48" s="25">
        <f t="shared" si="3"/>
        <v>85272.72727</v>
      </c>
      <c r="E48" s="14">
        <f t="shared" si="4"/>
        <v>14000</v>
      </c>
      <c r="F48" s="26">
        <f t="shared" si="5"/>
        <v>99272.72727</v>
      </c>
      <c r="G48" s="27">
        <f t="shared" si="6"/>
        <v>0.1418181818</v>
      </c>
    </row>
    <row r="49" ht="15.75" customHeight="1">
      <c r="A49" s="14">
        <v>950000.0</v>
      </c>
      <c r="B49" s="23" t="str">
        <f t="shared" si="1"/>
        <v>Vice President</v>
      </c>
      <c r="C49" s="24">
        <f t="shared" si="2"/>
        <v>0.136969697</v>
      </c>
      <c r="D49" s="25">
        <f t="shared" si="3"/>
        <v>130121.2121</v>
      </c>
      <c r="E49" s="14">
        <f t="shared" si="4"/>
        <v>19000</v>
      </c>
      <c r="F49" s="26">
        <f t="shared" si="5"/>
        <v>149121.2121</v>
      </c>
      <c r="G49" s="27">
        <f t="shared" si="6"/>
        <v>0.156969697</v>
      </c>
    </row>
    <row r="50" ht="15.75" customHeight="1">
      <c r="A50" s="14">
        <v>1000000.0</v>
      </c>
      <c r="B50" s="23" t="str">
        <f t="shared" si="1"/>
        <v>Vice President</v>
      </c>
      <c r="C50" s="24">
        <f t="shared" si="2"/>
        <v>0.14</v>
      </c>
      <c r="D50" s="25">
        <f t="shared" si="3"/>
        <v>140000</v>
      </c>
      <c r="E50" s="14">
        <f t="shared" si="4"/>
        <v>19000</v>
      </c>
      <c r="F50" s="26">
        <f t="shared" si="5"/>
        <v>159000</v>
      </c>
      <c r="G50" s="27">
        <f t="shared" si="6"/>
        <v>0.159</v>
      </c>
    </row>
    <row r="51" ht="15.75" customHeight="1">
      <c r="A51" s="14">
        <v>1250000.0</v>
      </c>
      <c r="B51" s="23" t="str">
        <f t="shared" si="1"/>
        <v>President's Circle</v>
      </c>
      <c r="C51" s="24">
        <f t="shared" si="2"/>
        <v>0.1425</v>
      </c>
      <c r="D51" s="25">
        <f t="shared" si="3"/>
        <v>178125</v>
      </c>
      <c r="E51" s="14">
        <f t="shared" si="4"/>
        <v>26500</v>
      </c>
      <c r="F51" s="26">
        <f t="shared" si="5"/>
        <v>204625</v>
      </c>
      <c r="G51" s="27">
        <f t="shared" si="6"/>
        <v>0.1637</v>
      </c>
    </row>
    <row r="52" ht="15.75" customHeight="1">
      <c r="A52" s="14">
        <v>1600000.0</v>
      </c>
      <c r="B52" s="23" t="str">
        <f t="shared" si="1"/>
        <v>Chairman's Circle</v>
      </c>
      <c r="C52" s="24">
        <f t="shared" si="2"/>
        <v>0.146</v>
      </c>
      <c r="D52" s="25">
        <f t="shared" si="3"/>
        <v>233600</v>
      </c>
      <c r="E52" s="14">
        <f t="shared" si="4"/>
        <v>36500</v>
      </c>
      <c r="F52" s="26">
        <f t="shared" si="5"/>
        <v>270100</v>
      </c>
      <c r="G52" s="27">
        <f t="shared" si="6"/>
        <v>0.1688125</v>
      </c>
    </row>
    <row r="53" ht="15.75" customHeight="1">
      <c r="A53" s="14">
        <v>1750000.0</v>
      </c>
      <c r="B53" s="23" t="str">
        <f t="shared" si="1"/>
        <v>Chairman's Circle</v>
      </c>
      <c r="C53" s="24">
        <f t="shared" si="2"/>
        <v>0.1475</v>
      </c>
      <c r="D53" s="25">
        <f t="shared" si="3"/>
        <v>258125</v>
      </c>
      <c r="E53" s="14">
        <f t="shared" si="4"/>
        <v>36500</v>
      </c>
      <c r="F53" s="26">
        <f t="shared" si="5"/>
        <v>294625</v>
      </c>
      <c r="G53" s="27">
        <f t="shared" si="6"/>
        <v>0.1683571429</v>
      </c>
    </row>
    <row r="54" ht="15.75" customHeight="1">
      <c r="A54" s="14">
        <v>2000000.0</v>
      </c>
      <c r="B54" s="23" t="str">
        <f t="shared" si="1"/>
        <v>Pinnacle</v>
      </c>
      <c r="C54" s="24">
        <f t="shared" si="2"/>
        <v>0.15</v>
      </c>
      <c r="D54" s="25">
        <f t="shared" si="3"/>
        <v>300000</v>
      </c>
      <c r="E54" s="14">
        <f t="shared" si="4"/>
        <v>51500</v>
      </c>
      <c r="F54" s="26">
        <f t="shared" si="5"/>
        <v>351500</v>
      </c>
      <c r="G54" s="27">
        <f t="shared" si="6"/>
        <v>0.17575</v>
      </c>
    </row>
    <row r="55" ht="15.75" customHeight="1">
      <c r="A55" s="14">
        <v>2500000.0</v>
      </c>
      <c r="B55" s="23" t="str">
        <f t="shared" si="1"/>
        <v>Pinnacle</v>
      </c>
      <c r="C55" s="24">
        <f t="shared" si="2"/>
        <v>0.15</v>
      </c>
      <c r="D55" s="25">
        <f t="shared" si="3"/>
        <v>375000</v>
      </c>
      <c r="E55" s="14">
        <f t="shared" si="4"/>
        <v>51500</v>
      </c>
      <c r="F55" s="26">
        <f t="shared" si="5"/>
        <v>426500</v>
      </c>
      <c r="G55" s="27">
        <f t="shared" si="6"/>
        <v>0.1706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8:B8"/>
    <mergeCell ref="D8:H8"/>
    <mergeCell ref="A11:H11"/>
    <mergeCell ref="A1:H1"/>
    <mergeCell ref="A2:H2"/>
    <mergeCell ref="A4:H4"/>
    <mergeCell ref="A5:B5"/>
    <mergeCell ref="D5:H5"/>
    <mergeCell ref="A6:B6"/>
    <mergeCell ref="A7:B7"/>
    <mergeCell ref="B29:H29"/>
    <mergeCell ref="B30:H30"/>
    <mergeCell ref="B31:H31"/>
    <mergeCell ref="B32:H32"/>
    <mergeCell ref="B33:H33"/>
    <mergeCell ref="B34:H34"/>
    <mergeCell ref="B35:H35"/>
    <mergeCell ref="A38:H38"/>
    <mergeCell ref="D6:H6"/>
    <mergeCell ref="D7:H7"/>
    <mergeCell ref="F13:H23"/>
    <mergeCell ref="A25:H25"/>
    <mergeCell ref="B26:H26"/>
    <mergeCell ref="B27:H27"/>
    <mergeCell ref="B28:H2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3" width="22.0"/>
    <col customWidth="1" min="4" max="5" width="18.0"/>
    <col customWidth="1" min="6" max="26" width="8.71"/>
  </cols>
  <sheetData>
    <row r="1" ht="30.0" customHeight="1">
      <c r="A1" s="1" t="s">
        <v>55</v>
      </c>
      <c r="B1" s="2"/>
      <c r="C1" s="2"/>
      <c r="D1" s="2"/>
      <c r="E1" s="3"/>
    </row>
    <row r="2" ht="19.5" customHeight="1">
      <c r="A2" s="28" t="s">
        <v>56</v>
      </c>
    </row>
    <row r="4">
      <c r="A4" s="6" t="s">
        <v>57</v>
      </c>
      <c r="B4" s="29" t="s">
        <v>58</v>
      </c>
      <c r="C4" s="19"/>
    </row>
    <row r="5">
      <c r="A5" s="6" t="s">
        <v>59</v>
      </c>
      <c r="B5" s="30">
        <v>52000.0</v>
      </c>
    </row>
    <row r="7" ht="19.5" customHeight="1">
      <c r="A7" s="5" t="s">
        <v>60</v>
      </c>
      <c r="B7" s="2"/>
      <c r="C7" s="2"/>
      <c r="D7" s="2"/>
      <c r="E7" s="3"/>
    </row>
    <row r="8" ht="24.0" customHeight="1">
      <c r="A8" s="21" t="s">
        <v>61</v>
      </c>
      <c r="B8" s="31" t="str">
        <f t="array" ref="B8">INDEX(Plan!$B$13:$B$23,MATCH($B$5,Plan!$C$13:$C$23,1))</f>
        <v>Account Executive</v>
      </c>
      <c r="C8" s="20"/>
    </row>
    <row r="9">
      <c r="A9" s="21" t="s">
        <v>62</v>
      </c>
      <c r="B9" s="32">
        <f>IF(MAX(1,CEILING($B$5/Plan!$C$8,1))&lt;=100,Plan!$C$5+(Plan!$C$6-Plan!$C$5)*(MAX(1,CEILING($B$5/Plan!$C$8,1))-1)/99,IF(MAX(1,CEILING($B$5/Plan!$C$8,1))&lt;=200,Plan!$C$6+(Plan!$C$7-Plan!$C$6)*(MAX(1,CEILING($B$5/Plan!$C$8,1))-100)/100,Plan!$C$7))</f>
        <v>0.08303030303</v>
      </c>
      <c r="C9" s="19"/>
    </row>
    <row r="10">
      <c r="A10" s="21" t="s">
        <v>63</v>
      </c>
      <c r="B10" s="33">
        <f>($B$5*IF(MAX(1,CEILING($B$5/Plan!$C$8,1))&lt;=100,Plan!$C$5+(Plan!$C$6-Plan!$C$5)*(MAX(1,CEILING($B$5/Plan!$C$8,1))-1)/99,IF(MAX(1,CEILING($B$5/Plan!$C$8,1))&lt;=200,Plan!$C$6+(Plan!$C$7-Plan!$C$6)*(MAX(1,CEILING($B$5/Plan!$C$8,1))-100)/100,Plan!$C$7)))</f>
        <v>4317.575758</v>
      </c>
      <c r="C10" s="19"/>
    </row>
    <row r="11">
      <c r="A11" s="21" t="s">
        <v>64</v>
      </c>
      <c r="B11" s="33">
        <f>SUMPRODUCT(($B$5&gt;=Plan!$C$13:$C$23)*Plan!$D$13:$D$23)</f>
        <v>1000</v>
      </c>
      <c r="C11" s="19"/>
    </row>
    <row r="12">
      <c r="A12" s="21" t="s">
        <v>65</v>
      </c>
      <c r="B12" s="34">
        <f>(($B$5*IF(MAX(1,CEILING($B$5/Plan!$C$8,1))&lt;=100,Plan!$C$5+(Plan!$C$6-Plan!$C$5)*(MAX(1,CEILING($B$5/Plan!$C$8,1))-1)/99,IF(MAX(1,CEILING($B$5/Plan!$C$8,1))&lt;=200,Plan!$C$6+(Plan!$C$7-Plan!$C$6)*(MAX(1,CEILING($B$5/Plan!$C$8,1))-100)/100,Plan!$C$7)))+SUMPRODUCT(($B$5&gt;=Plan!$C$13:$C$23)*Plan!$D$13:$D$23))</f>
        <v>5317.575758</v>
      </c>
      <c r="C12" s="20"/>
    </row>
    <row r="13">
      <c r="A13" s="21" t="s">
        <v>54</v>
      </c>
      <c r="B13" s="35">
        <f>IF($B$5=0,0,(($B$5*IF(MAX(1,CEILING($B$5/Plan!$C$8,1))&lt;=100,Plan!$C$5+(Plan!$C$6-Plan!$C$5)*(MAX(1,CEILING($B$5/Plan!$C$8,1))-1)/99,IF(MAX(1,CEILING($B$5/Plan!$C$8,1))&lt;=200,Plan!$C$6+(Plan!$C$7-Plan!$C$6)*(MAX(1,CEILING($B$5/Plan!$C$8,1))-100)/100,Plan!$C$7)))+SUMPRODUCT(($B$5&gt;=Plan!$C$13:$C$23)*Plan!$D$13:$D$23))/$B$5)</f>
        <v>0.1022610723</v>
      </c>
      <c r="C13" s="19"/>
    </row>
    <row r="15" ht="19.5" customHeight="1">
      <c r="A15" s="5" t="s">
        <v>66</v>
      </c>
      <c r="B15" s="2"/>
      <c r="C15" s="2"/>
      <c r="D15" s="2"/>
      <c r="E15" s="3"/>
    </row>
    <row r="16">
      <c r="A16" s="21" t="s">
        <v>67</v>
      </c>
      <c r="B16" s="36" t="str">
        <f t="array" ref="B16">IF(MATCH($B$5,Plan!$C$13:$C$23,1)=11,"★ Top tier",INDEX(Plan!$B$13:$B$23,MATCH($B$5,Plan!$C$13:$C$23,1)+1))</f>
        <v>Senior Account Executive</v>
      </c>
      <c r="C16" s="19"/>
    </row>
    <row r="17">
      <c r="A17" s="21" t="s">
        <v>68</v>
      </c>
      <c r="B17" s="37" t="str">
        <f t="array" ref="B17">IF(MATCH($B$5,Plan!$C$13:$C$23,1)=11,REPT("█",20),REPT("█",ROUND(IF(MATCH($B$5,Plan!$C$13:$C$23,1)=11,1,MIN(1,MAX(0,($B$5-INDEX(Plan!$C$13:$C$23,MATCH($B$5,Plan!$C$13:$C$23,1)))/(IF(MATCH($B$5,Plan!$C$13:$C$23,1)=11,0,INDEX(Plan!$C$13:$C$23,MATCH($B$5,Plan!$C$13:$C$23,1)+1))-INDEX(Plan!$C$13:$C$23,MATCH($B$5,Plan!$C$13:$C$23,1))))))*20,0))&amp;REPT("░",20-ROUND(IF(MATCH($B$5,Plan!$C$13:$C$23,1)=11,1,MIN(1,MAX(0,($B$5-INDEX(Plan!$C$13:$C$23,MATCH($B$5,Plan!$C$13:$C$23,1)))/(IF(MATCH($B$5,Plan!$C$13:$C$23,1)=11,0,INDEX(Plan!$C$13:$C$23,MATCH($B$5,Plan!$C$13:$C$23,1)+1))-INDEX(Plan!$C$13:$C$23,MATCH($B$5,Plan!$C$13:$C$23,1))))))*20,0)))</f>
        <v>█░░░░░░░░░░░░░░░░░░░</v>
      </c>
      <c r="C17" s="19"/>
      <c r="D17" s="19"/>
      <c r="E17" s="20"/>
    </row>
    <row r="18">
      <c r="A18" s="21" t="s">
        <v>69</v>
      </c>
      <c r="B18" s="38">
        <f t="array" ref="B18">IF(MATCH($B$5,Plan!$C$13:$C$23,1)=11,"— at top",IF(MATCH($B$5,Plan!$C$13:$C$23,1)=11,0,IF(MATCH($B$5,Plan!$C$13:$C$23,1)=11,0,INDEX(Plan!$C$13:$C$23,MATCH($B$5,Plan!$C$13:$C$23,1)+1))-$B$5))</f>
        <v>78000</v>
      </c>
      <c r="C18" s="19"/>
    </row>
    <row r="19">
      <c r="A19" s="21" t="s">
        <v>70</v>
      </c>
      <c r="B19" s="38">
        <f t="array" ref="B19">IF(MATCH($B$5,Plan!$C$13:$C$23,1)=11,0,INDEX(Plan!$D$13:$D$23,MATCH($B$5,Plan!$C$13:$C$23,1)+1))</f>
        <v>1500</v>
      </c>
      <c r="C19" s="19"/>
    </row>
    <row r="20" ht="21.75" customHeight="1">
      <c r="A20" s="39" t="str">
        <f t="array" ref="A20">IF(MATCH($B$5,Plan!$C$13:$C$23,1)=11,"🏆 "&amp;$B$4&amp;" has reached PINNACLE status — the top of the plan!",$B$4&amp;", you are "&amp;TEXT(IF(MATCH($B$5,Plan!$C$13:$C$23,1)=11,0,IF(MATCH($B$5,Plan!$C$13:$C$23,1)=11,0,INDEX(Plan!$C$13:$C$23,MATCH($B$5,Plan!$C$13:$C$23,1)+1))-$B$5),"$#,##0")&amp;" from "&amp;INDEX(Plan!$B$13:$B$23,MATCH($B$5,Plan!$C$13:$C$23,1)+1)&amp;" — unlocking a "&amp;TEXT(INDEX(Plan!$D$13:$D$23,MATCH($B$5,Plan!$C$13:$C$23,1)+1),"$#,##0")&amp;" bonus.")</f>
        <v>Jordan Rivera, you are $78,000 from Senior Account Executive — unlocking a $1,500 bonus.</v>
      </c>
    </row>
    <row r="21" ht="15.75" customHeight="1"/>
    <row r="22" ht="19.5" customHeight="1">
      <c r="A22" s="5" t="s">
        <v>71</v>
      </c>
      <c r="B22" s="2"/>
      <c r="C22" s="2"/>
      <c r="D22" s="2"/>
      <c r="E22" s="3"/>
    </row>
    <row r="23" ht="31.5" customHeight="1">
      <c r="A23" s="10" t="s">
        <v>49</v>
      </c>
      <c r="B23" s="10" t="s">
        <v>72</v>
      </c>
      <c r="C23" s="10" t="s">
        <v>73</v>
      </c>
      <c r="D23" s="10" t="s">
        <v>74</v>
      </c>
      <c r="E23" s="10" t="s">
        <v>75</v>
      </c>
    </row>
    <row r="24" ht="15.75" customHeight="1">
      <c r="A24" s="21" t="str">
        <f t="array" ref="A24">IF(((MATCH($B$5,Plan!$C$13:$C$23,1)+1)&gt;11),"— at top",INDEX(Plan!$B$13:$B$23,(MATCH($B$5,Plan!$C$13:$C$23,1)+1)))</f>
        <v>Senior Account Executive</v>
      </c>
      <c r="B24" s="14">
        <f t="array" ref="B24">IF(((MATCH($B$5,Plan!$C$13:$C$23,1)+1)&gt;11),"",INDEX(Plan!$C$13:$C$23,MIN((MATCH($B$5,Plan!$C$13:$C$23,1)+1),11)))</f>
        <v>130000</v>
      </c>
      <c r="C24" s="40">
        <f t="array" ref="C24">IF(((MATCH($B$5,Plan!$C$13:$C$23,1)+1)&gt;11),"",(INDEX(Plan!$C$13:$C$23,MIN((MATCH($B$5,Plan!$C$13:$C$23,1)+1),11))*IF(MAX(1,CEILING(INDEX(Plan!$C$13:$C$23,MIN((MATCH($B$5,Plan!$C$13:$C$23,1)+1),11))/Plan!$C$8,1))&lt;=100,Plan!$C$5+(Plan!$C$6-Plan!$C$5)*(MAX(1,CEILING(INDEX(Plan!$C$13:$C$23,MIN((MATCH($B$5,Plan!$C$13:$C$23,1)+1),11))/Plan!$C$8,1))-1)/99,IF(MAX(1,CEILING(INDEX(Plan!$C$13:$C$23,MIN((MATCH($B$5,Plan!$C$13:$C$23,1)+1),11))/Plan!$C$8,1))&lt;=200,Plan!$C$6+(Plan!$C$7-Plan!$C$6)*(MAX(1,CEILING(INDEX(Plan!$C$13:$C$23,MIN((MATCH($B$5,Plan!$C$13:$C$23,1)+1),11))/Plan!$C$8,1))-100)/100,Plan!$C$7))+SUMPRODUCT((INDEX(Plan!$C$13:$C$23,MIN((MATCH($B$5,Plan!$C$13:$C$23,1)+1),11))&gt;=Plan!$C$13:$C$23)*Plan!$D$13:$D$23)))</f>
        <v>13845.45455</v>
      </c>
      <c r="D24" s="41">
        <f t="array" ref="D24">IF(((MATCH($B$5,Plan!$C$13:$C$23,1)+1)&gt;11),"",(INDEX(Plan!$C$13:$C$23,MIN((MATCH($B$5,Plan!$C$13:$C$23,1)+1),11))*IF(MAX(1,CEILING(INDEX(Plan!$C$13:$C$23,MIN((MATCH($B$5,Plan!$C$13:$C$23,1)+1),11))/Plan!$C$8,1))&lt;=100,Plan!$C$5+(Plan!$C$6-Plan!$C$5)*(MAX(1,CEILING(INDEX(Plan!$C$13:$C$23,MIN((MATCH($B$5,Plan!$C$13:$C$23,1)+1),11))/Plan!$C$8,1))-1)/99,IF(MAX(1,CEILING(INDEX(Plan!$C$13:$C$23,MIN((MATCH($B$5,Plan!$C$13:$C$23,1)+1),11))/Plan!$C$8,1))&lt;=200,Plan!$C$6+(Plan!$C$7-Plan!$C$6)*(MAX(1,CEILING(INDEX(Plan!$C$13:$C$23,MIN((MATCH($B$5,Plan!$C$13:$C$23,1)+1),11))/Plan!$C$8,1))-100)/100,Plan!$C$7))+SUMPRODUCT((INDEX(Plan!$C$13:$C$23,MIN((MATCH($B$5,Plan!$C$13:$C$23,1)+1),11))&gt;=Plan!$C$13:$C$23)*Plan!$D$13:$D$23))-(($B$5*IF(MAX(1,CEILING($B$5/Plan!$C$8,1))&lt;=100,Plan!$C$5+(Plan!$C$6-Plan!$C$5)*(MAX(1,CEILING($B$5/Plan!$C$8,1))-1)/99,IF(MAX(1,CEILING($B$5/Plan!$C$8,1))&lt;=200,Plan!$C$6+(Plan!$C$7-Plan!$C$6)*(MAX(1,CEILING($B$5/Plan!$C$8,1))-100)/100,Plan!$C$7)))+SUMPRODUCT(($B$5&gt;=Plan!$C$13:$C$23)*Plan!$D$13:$D$23)))</f>
        <v>8527.878788</v>
      </c>
      <c r="E24" s="14">
        <f t="array" ref="E24">IF(((MATCH($B$5,Plan!$C$13:$C$23,1)+1)&gt;11),"",INDEX(Plan!$C$13:$C$23,MIN((MATCH($B$5,Plan!$C$13:$C$23,1)+1),11))-$B$5)</f>
        <v>78000</v>
      </c>
    </row>
    <row r="25" ht="15.75" customHeight="1">
      <c r="A25" s="21" t="str">
        <f t="array" ref="A25">IF(((MATCH($B$5,Plan!$C$13:$C$23,1)+2)&gt;11),"— at top",INDEX(Plan!$B$13:$B$23,(MATCH($B$5,Plan!$C$13:$C$23,1)+2)))</f>
        <v>Account Director</v>
      </c>
      <c r="B25" s="14">
        <f t="array" ref="B25">IF(((MATCH($B$5,Plan!$C$13:$C$23,1)+2)&gt;11),"",INDEX(Plan!$C$13:$C$23,MIN((MATCH($B$5,Plan!$C$13:$C$23,1)+2),11)))</f>
        <v>230000</v>
      </c>
      <c r="C25" s="40">
        <f t="array" ref="C25">IF(((MATCH($B$5,Plan!$C$13:$C$23,1)+2)&gt;11),"",(INDEX(Plan!$C$13:$C$23,MIN((MATCH($B$5,Plan!$C$13:$C$23,1)+2),11))*IF(MAX(1,CEILING(INDEX(Plan!$C$13:$C$23,MIN((MATCH($B$5,Plan!$C$13:$C$23,1)+2),11))/Plan!$C$8,1))&lt;=100,Plan!$C$5+(Plan!$C$6-Plan!$C$5)*(MAX(1,CEILING(INDEX(Plan!$C$13:$C$23,MIN((MATCH($B$5,Plan!$C$13:$C$23,1)+2),11))/Plan!$C$8,1))-1)/99,IF(MAX(1,CEILING(INDEX(Plan!$C$13:$C$23,MIN((MATCH($B$5,Plan!$C$13:$C$23,1)+2),11))/Plan!$C$8,1))&lt;=200,Plan!$C$6+(Plan!$C$7-Plan!$C$6)*(MAX(1,CEILING(INDEX(Plan!$C$13:$C$23,MIN((MATCH($B$5,Plan!$C$13:$C$23,1)+2),11))/Plan!$C$8,1))-100)/100,Plan!$C$7))+SUMPRODUCT((INDEX(Plan!$C$13:$C$23,MIN((MATCH($B$5,Plan!$C$13:$C$23,1)+2),11))&gt;=Plan!$C$13:$C$23)*Plan!$D$13:$D$23)))</f>
        <v>25966.66667</v>
      </c>
      <c r="D25" s="41">
        <f t="array" ref="D25">IF(((MATCH($B$5,Plan!$C$13:$C$23,1)+2)&gt;11),"",(INDEX(Plan!$C$13:$C$23,MIN((MATCH($B$5,Plan!$C$13:$C$23,1)+2),11))*IF(MAX(1,CEILING(INDEX(Plan!$C$13:$C$23,MIN((MATCH($B$5,Plan!$C$13:$C$23,1)+2),11))/Plan!$C$8,1))&lt;=100,Plan!$C$5+(Plan!$C$6-Plan!$C$5)*(MAX(1,CEILING(INDEX(Plan!$C$13:$C$23,MIN((MATCH($B$5,Plan!$C$13:$C$23,1)+2),11))/Plan!$C$8,1))-1)/99,IF(MAX(1,CEILING(INDEX(Plan!$C$13:$C$23,MIN((MATCH($B$5,Plan!$C$13:$C$23,1)+2),11))/Plan!$C$8,1))&lt;=200,Plan!$C$6+(Plan!$C$7-Plan!$C$6)*(MAX(1,CEILING(INDEX(Plan!$C$13:$C$23,MIN((MATCH($B$5,Plan!$C$13:$C$23,1)+2),11))/Plan!$C$8,1))-100)/100,Plan!$C$7))+SUMPRODUCT((INDEX(Plan!$C$13:$C$23,MIN((MATCH($B$5,Plan!$C$13:$C$23,1)+2),11))&gt;=Plan!$C$13:$C$23)*Plan!$D$13:$D$23))-(($B$5*IF(MAX(1,CEILING($B$5/Plan!$C$8,1))&lt;=100,Plan!$C$5+(Plan!$C$6-Plan!$C$5)*(MAX(1,CEILING($B$5/Plan!$C$8,1))-1)/99,IF(MAX(1,CEILING($B$5/Plan!$C$8,1))&lt;=200,Plan!$C$6+(Plan!$C$7-Plan!$C$6)*(MAX(1,CEILING($B$5/Plan!$C$8,1))-100)/100,Plan!$C$7)))+SUMPRODUCT(($B$5&gt;=Plan!$C$13:$C$23)*Plan!$D$13:$D$23)))</f>
        <v>20649.09091</v>
      </c>
      <c r="E25" s="14">
        <f t="array" ref="E25">IF(((MATCH($B$5,Plan!$C$13:$C$23,1)+2)&gt;11),"",INDEX(Plan!$C$13:$C$23,MIN((MATCH($B$5,Plan!$C$13:$C$23,1)+2),11))-$B$5)</f>
        <v>178000</v>
      </c>
    </row>
    <row r="26" ht="15.75" customHeight="1">
      <c r="A26" s="21" t="str">
        <f t="array" ref="A26">IF(((MATCH($B$5,Plan!$C$13:$C$23,1)+3)&gt;11),"— at top",INDEX(Plan!$B$13:$B$23,(MATCH($B$5,Plan!$C$13:$C$23,1)+3)))</f>
        <v>Senior Account Director</v>
      </c>
      <c r="B26" s="14">
        <f t="array" ref="B26">IF(((MATCH($B$5,Plan!$C$13:$C$23,1)+3)&gt;11),"",INDEX(Plan!$C$13:$C$23,MIN((MATCH($B$5,Plan!$C$13:$C$23,1)+3),11)))</f>
        <v>350000</v>
      </c>
      <c r="C26" s="40">
        <f t="array" ref="C26">IF(((MATCH($B$5,Plan!$C$13:$C$23,1)+3)&gt;11),"",(INDEX(Plan!$C$13:$C$23,MIN((MATCH($B$5,Plan!$C$13:$C$23,1)+3),11))*IF(MAX(1,CEILING(INDEX(Plan!$C$13:$C$23,MIN((MATCH($B$5,Plan!$C$13:$C$23,1)+3),11))/Plan!$C$8,1))&lt;=100,Plan!$C$5+(Plan!$C$6-Plan!$C$5)*(MAX(1,CEILING(INDEX(Plan!$C$13:$C$23,MIN((MATCH($B$5,Plan!$C$13:$C$23,1)+3),11))/Plan!$C$8,1))-1)/99,IF(MAX(1,CEILING(INDEX(Plan!$C$13:$C$23,MIN((MATCH($B$5,Plan!$C$13:$C$23,1)+3),11))/Plan!$C$8,1))&lt;=200,Plan!$C$6+(Plan!$C$7-Plan!$C$6)*(MAX(1,CEILING(INDEX(Plan!$C$13:$C$23,MIN((MATCH($B$5,Plan!$C$13:$C$23,1)+3),11))/Plan!$C$8,1))-100)/100,Plan!$C$7))+SUMPRODUCT((INDEX(Plan!$C$13:$C$23,MIN((MATCH($B$5,Plan!$C$13:$C$23,1)+3),11))&gt;=Plan!$C$13:$C$23)*Plan!$D$13:$D$23)))</f>
        <v>42212.12121</v>
      </c>
      <c r="D26" s="41">
        <f t="array" ref="D26">IF(((MATCH($B$5,Plan!$C$13:$C$23,1)+3)&gt;11),"",(INDEX(Plan!$C$13:$C$23,MIN((MATCH($B$5,Plan!$C$13:$C$23,1)+3),11))*IF(MAX(1,CEILING(INDEX(Plan!$C$13:$C$23,MIN((MATCH($B$5,Plan!$C$13:$C$23,1)+3),11))/Plan!$C$8,1))&lt;=100,Plan!$C$5+(Plan!$C$6-Plan!$C$5)*(MAX(1,CEILING(INDEX(Plan!$C$13:$C$23,MIN((MATCH($B$5,Plan!$C$13:$C$23,1)+3),11))/Plan!$C$8,1))-1)/99,IF(MAX(1,CEILING(INDEX(Plan!$C$13:$C$23,MIN((MATCH($B$5,Plan!$C$13:$C$23,1)+3),11))/Plan!$C$8,1))&lt;=200,Plan!$C$6+(Plan!$C$7-Plan!$C$6)*(MAX(1,CEILING(INDEX(Plan!$C$13:$C$23,MIN((MATCH($B$5,Plan!$C$13:$C$23,1)+3),11))/Plan!$C$8,1))-100)/100,Plan!$C$7))+SUMPRODUCT((INDEX(Plan!$C$13:$C$23,MIN((MATCH($B$5,Plan!$C$13:$C$23,1)+3),11))&gt;=Plan!$C$13:$C$23)*Plan!$D$13:$D$23))-(($B$5*IF(MAX(1,CEILING($B$5/Plan!$C$8,1))&lt;=100,Plan!$C$5+(Plan!$C$6-Plan!$C$5)*(MAX(1,CEILING($B$5/Plan!$C$8,1))-1)/99,IF(MAX(1,CEILING($B$5/Plan!$C$8,1))&lt;=200,Plan!$C$6+(Plan!$C$7-Plan!$C$6)*(MAX(1,CEILING($B$5/Plan!$C$8,1))-100)/100,Plan!$C$7)))+SUMPRODUCT(($B$5&gt;=Plan!$C$13:$C$23)*Plan!$D$13:$D$23)))</f>
        <v>36894.54545</v>
      </c>
      <c r="E26" s="14">
        <f t="array" ref="E26">IF(((MATCH($B$5,Plan!$C$13:$C$23,1)+3)&gt;11),"",INDEX(Plan!$C$13:$C$23,MIN((MATCH($B$5,Plan!$C$13:$C$23,1)+3),11))-$B$5)</f>
        <v>298000</v>
      </c>
    </row>
    <row r="27" ht="15.75" customHeight="1">
      <c r="A27" s="21" t="str">
        <f t="array" ref="A27">IF(((MATCH($B$5,Plan!$C$13:$C$23,1)+4)&gt;11),"— at top",INDEX(Plan!$B$13:$B$23,(MATCH($B$5,Plan!$C$13:$C$23,1)+4)))</f>
        <v>Sales Director</v>
      </c>
      <c r="B27" s="14">
        <f t="array" ref="B27">IF(((MATCH($B$5,Plan!$C$13:$C$23,1)+4)&gt;11),"",INDEX(Plan!$C$13:$C$23,MIN((MATCH($B$5,Plan!$C$13:$C$23,1)+4),11)))</f>
        <v>500000</v>
      </c>
      <c r="C27" s="40">
        <f t="array" ref="C27">IF(((MATCH($B$5,Plan!$C$13:$C$23,1)+4)&gt;11),"",(INDEX(Plan!$C$13:$C$23,MIN((MATCH($B$5,Plan!$C$13:$C$23,1)+4),11))*IF(MAX(1,CEILING(INDEX(Plan!$C$13:$C$23,MIN((MATCH($B$5,Plan!$C$13:$C$23,1)+4),11))/Plan!$C$8,1))&lt;=100,Plan!$C$5+(Plan!$C$6-Plan!$C$5)*(MAX(1,CEILING(INDEX(Plan!$C$13:$C$23,MIN((MATCH($B$5,Plan!$C$13:$C$23,1)+4),11))/Plan!$C$8,1))-1)/99,IF(MAX(1,CEILING(INDEX(Plan!$C$13:$C$23,MIN((MATCH($B$5,Plan!$C$13:$C$23,1)+4),11))/Plan!$C$8,1))&lt;=200,Plan!$C$6+(Plan!$C$7-Plan!$C$6)*(MAX(1,CEILING(INDEX(Plan!$C$13:$C$23,MIN((MATCH($B$5,Plan!$C$13:$C$23,1)+4),11))/Plan!$C$8,1))-100)/100,Plan!$C$7))+SUMPRODUCT((INDEX(Plan!$C$13:$C$23,MIN((MATCH($B$5,Plan!$C$13:$C$23,1)+4),11))&gt;=Plan!$C$13:$C$23)*Plan!$D$13:$D$23)))</f>
        <v>64848.48485</v>
      </c>
      <c r="D27" s="41">
        <f t="array" ref="D27">IF(((MATCH($B$5,Plan!$C$13:$C$23,1)+4)&gt;11),"",(INDEX(Plan!$C$13:$C$23,MIN((MATCH($B$5,Plan!$C$13:$C$23,1)+4),11))*IF(MAX(1,CEILING(INDEX(Plan!$C$13:$C$23,MIN((MATCH($B$5,Plan!$C$13:$C$23,1)+4),11))/Plan!$C$8,1))&lt;=100,Plan!$C$5+(Plan!$C$6-Plan!$C$5)*(MAX(1,CEILING(INDEX(Plan!$C$13:$C$23,MIN((MATCH($B$5,Plan!$C$13:$C$23,1)+4),11))/Plan!$C$8,1))-1)/99,IF(MAX(1,CEILING(INDEX(Plan!$C$13:$C$23,MIN((MATCH($B$5,Plan!$C$13:$C$23,1)+4),11))/Plan!$C$8,1))&lt;=200,Plan!$C$6+(Plan!$C$7-Plan!$C$6)*(MAX(1,CEILING(INDEX(Plan!$C$13:$C$23,MIN((MATCH($B$5,Plan!$C$13:$C$23,1)+4),11))/Plan!$C$8,1))-100)/100,Plan!$C$7))+SUMPRODUCT((INDEX(Plan!$C$13:$C$23,MIN((MATCH($B$5,Plan!$C$13:$C$23,1)+4),11))&gt;=Plan!$C$13:$C$23)*Plan!$D$13:$D$23))-(($B$5*IF(MAX(1,CEILING($B$5/Plan!$C$8,1))&lt;=100,Plan!$C$5+(Plan!$C$6-Plan!$C$5)*(MAX(1,CEILING($B$5/Plan!$C$8,1))-1)/99,IF(MAX(1,CEILING($B$5/Plan!$C$8,1))&lt;=200,Plan!$C$6+(Plan!$C$7-Plan!$C$6)*(MAX(1,CEILING($B$5/Plan!$C$8,1))-100)/100,Plan!$C$7)))+SUMPRODUCT(($B$5&gt;=Plan!$C$13:$C$23)*Plan!$D$13:$D$23)))</f>
        <v>59530.90909</v>
      </c>
      <c r="E27" s="14">
        <f t="array" ref="E27">IF(((MATCH($B$5,Plan!$C$13:$C$23,1)+4)&gt;11),"",INDEX(Plan!$C$13:$C$23,MIN((MATCH($B$5,Plan!$C$13:$C$23,1)+4),11))-$B$5)</f>
        <v>448000</v>
      </c>
    </row>
    <row r="28" ht="15.75" customHeight="1">
      <c r="A28" s="21" t="str">
        <f t="array" ref="A28">IF(((MATCH($B$5,Plan!$C$13:$C$23,1)+5)&gt;11),"— at top",INDEX(Plan!$B$13:$B$23,(MATCH($B$5,Plan!$C$13:$C$23,1)+5)))</f>
        <v>Senior Sales Director</v>
      </c>
      <c r="B28" s="14">
        <f t="array" ref="B28">IF(((MATCH($B$5,Plan!$C$13:$C$23,1)+5)&gt;11),"",INDEX(Plan!$C$13:$C$23,MIN((MATCH($B$5,Plan!$C$13:$C$23,1)+5),11)))</f>
        <v>700000</v>
      </c>
      <c r="C28" s="40">
        <f t="array" ref="C28">IF(((MATCH($B$5,Plan!$C$13:$C$23,1)+5)&gt;11),"",(INDEX(Plan!$C$13:$C$23,MIN((MATCH($B$5,Plan!$C$13:$C$23,1)+5),11))*IF(MAX(1,CEILING(INDEX(Plan!$C$13:$C$23,MIN((MATCH($B$5,Plan!$C$13:$C$23,1)+5),11))/Plan!$C$8,1))&lt;=100,Plan!$C$5+(Plan!$C$6-Plan!$C$5)*(MAX(1,CEILING(INDEX(Plan!$C$13:$C$23,MIN((MATCH($B$5,Plan!$C$13:$C$23,1)+5),11))/Plan!$C$8,1))-1)/99,IF(MAX(1,CEILING(INDEX(Plan!$C$13:$C$23,MIN((MATCH($B$5,Plan!$C$13:$C$23,1)+5),11))/Plan!$C$8,1))&lt;=200,Plan!$C$6+(Plan!$C$7-Plan!$C$6)*(MAX(1,CEILING(INDEX(Plan!$C$13:$C$23,MIN((MATCH($B$5,Plan!$C$13:$C$23,1)+5),11))/Plan!$C$8,1))-100)/100,Plan!$C$7))+SUMPRODUCT((INDEX(Plan!$C$13:$C$23,MIN((MATCH($B$5,Plan!$C$13:$C$23,1)+5),11))&gt;=Plan!$C$13:$C$23)*Plan!$D$13:$D$23)))</f>
        <v>99272.72727</v>
      </c>
      <c r="D28" s="41">
        <f t="array" ref="D28">IF(((MATCH($B$5,Plan!$C$13:$C$23,1)+5)&gt;11),"",(INDEX(Plan!$C$13:$C$23,MIN((MATCH($B$5,Plan!$C$13:$C$23,1)+5),11))*IF(MAX(1,CEILING(INDEX(Plan!$C$13:$C$23,MIN((MATCH($B$5,Plan!$C$13:$C$23,1)+5),11))/Plan!$C$8,1))&lt;=100,Plan!$C$5+(Plan!$C$6-Plan!$C$5)*(MAX(1,CEILING(INDEX(Plan!$C$13:$C$23,MIN((MATCH($B$5,Plan!$C$13:$C$23,1)+5),11))/Plan!$C$8,1))-1)/99,IF(MAX(1,CEILING(INDEX(Plan!$C$13:$C$23,MIN((MATCH($B$5,Plan!$C$13:$C$23,1)+5),11))/Plan!$C$8,1))&lt;=200,Plan!$C$6+(Plan!$C$7-Plan!$C$6)*(MAX(1,CEILING(INDEX(Plan!$C$13:$C$23,MIN((MATCH($B$5,Plan!$C$13:$C$23,1)+5),11))/Plan!$C$8,1))-100)/100,Plan!$C$7))+SUMPRODUCT((INDEX(Plan!$C$13:$C$23,MIN((MATCH($B$5,Plan!$C$13:$C$23,1)+5),11))&gt;=Plan!$C$13:$C$23)*Plan!$D$13:$D$23))-(($B$5*IF(MAX(1,CEILING($B$5/Plan!$C$8,1))&lt;=100,Plan!$C$5+(Plan!$C$6-Plan!$C$5)*(MAX(1,CEILING($B$5/Plan!$C$8,1))-1)/99,IF(MAX(1,CEILING($B$5/Plan!$C$8,1))&lt;=200,Plan!$C$6+(Plan!$C$7-Plan!$C$6)*(MAX(1,CEILING($B$5/Plan!$C$8,1))-100)/100,Plan!$C$7)))+SUMPRODUCT(($B$5&gt;=Plan!$C$13:$C$23)*Plan!$D$13:$D$23)))</f>
        <v>93955.15152</v>
      </c>
      <c r="E28" s="14">
        <f t="array" ref="E28">IF(((MATCH($B$5,Plan!$C$13:$C$23,1)+5)&gt;11),"",INDEX(Plan!$C$13:$C$23,MIN((MATCH($B$5,Plan!$C$13:$C$23,1)+5),11))-$B$5)</f>
        <v>648000</v>
      </c>
    </row>
    <row r="29" ht="31.5" customHeight="1">
      <c r="A29" s="8" t="s">
        <v>76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E1"/>
    <mergeCell ref="A2:E2"/>
    <mergeCell ref="B4:C4"/>
    <mergeCell ref="A7:E7"/>
    <mergeCell ref="B8:C8"/>
    <mergeCell ref="B9:C9"/>
    <mergeCell ref="B10:C10"/>
    <mergeCell ref="B19:C19"/>
    <mergeCell ref="A20:E20"/>
    <mergeCell ref="A22:E22"/>
    <mergeCell ref="A29:E29"/>
    <mergeCell ref="B11:C11"/>
    <mergeCell ref="B12:C12"/>
    <mergeCell ref="B13:C13"/>
    <mergeCell ref="A15:E15"/>
    <mergeCell ref="B16:C16"/>
    <mergeCell ref="B17:E17"/>
    <mergeCell ref="B18:C1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13.0"/>
    <col customWidth="1" min="3" max="3" width="25.0"/>
    <col customWidth="1" min="4" max="4" width="11.0"/>
    <col customWidth="1" min="5" max="5" width="14.0"/>
    <col customWidth="1" min="6" max="6" width="17.0"/>
    <col customWidth="1" min="7" max="7" width="13.0"/>
    <col customWidth="1" min="8" max="8" width="17.0"/>
    <col customWidth="1" min="9" max="9" width="14.0"/>
    <col customWidth="1" min="10" max="10" width="8.71"/>
    <col customWidth="1" min="11" max="11" width="10.0"/>
    <col customWidth="1" min="12" max="26" width="8.71"/>
  </cols>
  <sheetData>
    <row r="1" ht="30.0" customHeight="1">
      <c r="A1" s="1" t="s">
        <v>77</v>
      </c>
      <c r="B1" s="2"/>
      <c r="C1" s="2"/>
      <c r="D1" s="2"/>
      <c r="E1" s="2"/>
      <c r="F1" s="2"/>
      <c r="G1" s="2"/>
      <c r="H1" s="2"/>
      <c r="I1" s="3"/>
    </row>
    <row r="2" ht="31.5" customHeight="1">
      <c r="A2" s="4" t="s">
        <v>78</v>
      </c>
    </row>
    <row r="4" ht="43.5" customHeight="1">
      <c r="A4" s="10" t="s">
        <v>79</v>
      </c>
      <c r="B4" s="10" t="s">
        <v>80</v>
      </c>
      <c r="C4" s="10" t="s">
        <v>49</v>
      </c>
      <c r="D4" s="10" t="s">
        <v>50</v>
      </c>
      <c r="E4" s="10" t="s">
        <v>81</v>
      </c>
      <c r="F4" s="10" t="s">
        <v>82</v>
      </c>
      <c r="G4" s="10" t="s">
        <v>83</v>
      </c>
      <c r="H4" s="10" t="s">
        <v>84</v>
      </c>
      <c r="I4" s="10" t="s">
        <v>53</v>
      </c>
      <c r="K4" s="42" t="s">
        <v>85</v>
      </c>
    </row>
    <row r="5">
      <c r="A5" s="43">
        <v>1.0</v>
      </c>
      <c r="B5" s="14">
        <f>1*Plan!$C$8</f>
        <v>10000</v>
      </c>
      <c r="C5" s="43" t="str">
        <f t="array" ref="C5">INDEX(Plan!$B$13:$B$23,MATCH(B5,Plan!$C$13:$C$23,1))</f>
        <v>Associate</v>
      </c>
      <c r="D5" s="24">
        <f>IF(A5&lt;=100,Plan!$C$5+(Plan!$C$6-Plan!$C$5)*(A5-1)/99,IF(A5&lt;=200,Plan!$C$6+(Plan!$C$7-Plan!$C$6)*(A5-100)/100,Plan!$C$7))</f>
        <v>0.08</v>
      </c>
      <c r="E5" s="25">
        <f>D5*Plan!$C$8</f>
        <v>800</v>
      </c>
      <c r="F5" s="25">
        <v>0.0</v>
      </c>
      <c r="G5" s="14">
        <f>K5</f>
        <v>0</v>
      </c>
      <c r="H5" s="41">
        <f t="shared" ref="H5:H204" si="1">E5+F5+G5</f>
        <v>800</v>
      </c>
      <c r="I5" s="40">
        <f t="shared" ref="I5:I204" si="2">B5*D5+K5</f>
        <v>800</v>
      </c>
      <c r="K5" s="42">
        <f>SUMPRODUCT((B5&gt;=Plan!$C$13:$C$23)*Plan!$D$13:$D$23)</f>
        <v>0</v>
      </c>
    </row>
    <row r="6">
      <c r="A6" s="43">
        <v>2.0</v>
      </c>
      <c r="B6" s="14">
        <f>2*Plan!$C$8</f>
        <v>20000</v>
      </c>
      <c r="C6" s="43" t="str">
        <f t="array" ref="C6">INDEX(Plan!$B$13:$B$23,MATCH(B6,Plan!$C$13:$C$23,1))</f>
        <v>Associate</v>
      </c>
      <c r="D6" s="24">
        <f>IF(A6&lt;=100,Plan!$C$5+(Plan!$C$6-Plan!$C$5)*(A6-1)/99,IF(A6&lt;=200,Plan!$C$6+(Plan!$C$7-Plan!$C$6)*(A6-100)/100,Plan!$C$7))</f>
        <v>0.08060606061</v>
      </c>
      <c r="E6" s="25">
        <f>D6*Plan!$C$8</f>
        <v>806.0606061</v>
      </c>
      <c r="F6" s="44">
        <f t="shared" ref="F6:F204" si="3">B5*(D6-D5)</f>
        <v>6.060606061</v>
      </c>
      <c r="G6" s="14">
        <f t="shared" ref="G6:G204" si="4">K6-K5</f>
        <v>0</v>
      </c>
      <c r="H6" s="41">
        <f t="shared" si="1"/>
        <v>812.1212121</v>
      </c>
      <c r="I6" s="40">
        <f t="shared" si="2"/>
        <v>1612.121212</v>
      </c>
      <c r="K6" s="42">
        <f>SUMPRODUCT((B6&gt;=Plan!$C$13:$C$23)*Plan!$D$13:$D$23)</f>
        <v>0</v>
      </c>
    </row>
    <row r="7">
      <c r="A7" s="43">
        <v>3.0</v>
      </c>
      <c r="B7" s="14">
        <f>3*Plan!$C$8</f>
        <v>30000</v>
      </c>
      <c r="C7" s="43" t="str">
        <f t="array" ref="C7">INDEX(Plan!$B$13:$B$23,MATCH(B7,Plan!$C$13:$C$23,1))</f>
        <v>Associate</v>
      </c>
      <c r="D7" s="24">
        <f>IF(A7&lt;=100,Plan!$C$5+(Plan!$C$6-Plan!$C$5)*(A7-1)/99,IF(A7&lt;=200,Plan!$C$6+(Plan!$C$7-Plan!$C$6)*(A7-100)/100,Plan!$C$7))</f>
        <v>0.08121212121</v>
      </c>
      <c r="E7" s="25">
        <f>D7*Plan!$C$8</f>
        <v>812.1212121</v>
      </c>
      <c r="F7" s="44">
        <f t="shared" si="3"/>
        <v>12.12121212</v>
      </c>
      <c r="G7" s="14">
        <f t="shared" si="4"/>
        <v>0</v>
      </c>
      <c r="H7" s="41">
        <f t="shared" si="1"/>
        <v>824.2424242</v>
      </c>
      <c r="I7" s="40">
        <f t="shared" si="2"/>
        <v>2436.363636</v>
      </c>
      <c r="K7" s="42">
        <f>SUMPRODUCT((B7&gt;=Plan!$C$13:$C$23)*Plan!$D$13:$D$23)</f>
        <v>0</v>
      </c>
    </row>
    <row r="8">
      <c r="A8" s="43">
        <v>4.0</v>
      </c>
      <c r="B8" s="14">
        <f>4*Plan!$C$8</f>
        <v>40000</v>
      </c>
      <c r="C8" s="43" t="str">
        <f t="array" ref="C8">INDEX(Plan!$B$13:$B$23,MATCH(B8,Plan!$C$13:$C$23,1))</f>
        <v>Associate</v>
      </c>
      <c r="D8" s="24">
        <f>IF(A8&lt;=100,Plan!$C$5+(Plan!$C$6-Plan!$C$5)*(A8-1)/99,IF(A8&lt;=200,Plan!$C$6+(Plan!$C$7-Plan!$C$6)*(A8-100)/100,Plan!$C$7))</f>
        <v>0.08181818182</v>
      </c>
      <c r="E8" s="25">
        <f>D8*Plan!$C$8</f>
        <v>818.1818182</v>
      </c>
      <c r="F8" s="44">
        <f t="shared" si="3"/>
        <v>18.18181818</v>
      </c>
      <c r="G8" s="14">
        <f t="shared" si="4"/>
        <v>0</v>
      </c>
      <c r="H8" s="41">
        <f t="shared" si="1"/>
        <v>836.3636364</v>
      </c>
      <c r="I8" s="40">
        <f t="shared" si="2"/>
        <v>3272.727273</v>
      </c>
      <c r="K8" s="42">
        <f>SUMPRODUCT((B8&gt;=Plan!$C$13:$C$23)*Plan!$D$13:$D$23)</f>
        <v>0</v>
      </c>
    </row>
    <row r="9">
      <c r="A9" s="43">
        <v>5.0</v>
      </c>
      <c r="B9" s="14">
        <f>5*Plan!$C$8</f>
        <v>50000</v>
      </c>
      <c r="C9" s="43" t="str">
        <f t="array" ref="C9">INDEX(Plan!$B$13:$B$23,MATCH(B9,Plan!$C$13:$C$23,1))</f>
        <v>Account Executive</v>
      </c>
      <c r="D9" s="24">
        <f>IF(A9&lt;=100,Plan!$C$5+(Plan!$C$6-Plan!$C$5)*(A9-1)/99,IF(A9&lt;=200,Plan!$C$6+(Plan!$C$7-Plan!$C$6)*(A9-100)/100,Plan!$C$7))</f>
        <v>0.08242424242</v>
      </c>
      <c r="E9" s="25">
        <f>D9*Plan!$C$8</f>
        <v>824.2424242</v>
      </c>
      <c r="F9" s="44">
        <f t="shared" si="3"/>
        <v>24.24242424</v>
      </c>
      <c r="G9" s="14">
        <f t="shared" si="4"/>
        <v>1000</v>
      </c>
      <c r="H9" s="41">
        <f t="shared" si="1"/>
        <v>1848.484848</v>
      </c>
      <c r="I9" s="40">
        <f t="shared" si="2"/>
        <v>5121.212121</v>
      </c>
      <c r="K9" s="42">
        <f>SUMPRODUCT((B9&gt;=Plan!$C$13:$C$23)*Plan!$D$13:$D$23)</f>
        <v>1000</v>
      </c>
    </row>
    <row r="10">
      <c r="A10" s="43">
        <v>6.0</v>
      </c>
      <c r="B10" s="14">
        <f>6*Plan!$C$8</f>
        <v>60000</v>
      </c>
      <c r="C10" s="43" t="str">
        <f t="array" ref="C10">INDEX(Plan!$B$13:$B$23,MATCH(B10,Plan!$C$13:$C$23,1))</f>
        <v>Account Executive</v>
      </c>
      <c r="D10" s="24">
        <f>IF(A10&lt;=100,Plan!$C$5+(Plan!$C$6-Plan!$C$5)*(A10-1)/99,IF(A10&lt;=200,Plan!$C$6+(Plan!$C$7-Plan!$C$6)*(A10-100)/100,Plan!$C$7))</f>
        <v>0.08303030303</v>
      </c>
      <c r="E10" s="25">
        <f>D10*Plan!$C$8</f>
        <v>830.3030303</v>
      </c>
      <c r="F10" s="44">
        <f t="shared" si="3"/>
        <v>30.3030303</v>
      </c>
      <c r="G10" s="14">
        <f t="shared" si="4"/>
        <v>0</v>
      </c>
      <c r="H10" s="41">
        <f t="shared" si="1"/>
        <v>860.6060606</v>
      </c>
      <c r="I10" s="40">
        <f t="shared" si="2"/>
        <v>5981.818182</v>
      </c>
      <c r="K10" s="42">
        <f>SUMPRODUCT((B10&gt;=Plan!$C$13:$C$23)*Plan!$D$13:$D$23)</f>
        <v>1000</v>
      </c>
    </row>
    <row r="11">
      <c r="A11" s="43">
        <v>7.0</v>
      </c>
      <c r="B11" s="14">
        <f>7*Plan!$C$8</f>
        <v>70000</v>
      </c>
      <c r="C11" s="43" t="str">
        <f t="array" ref="C11">INDEX(Plan!$B$13:$B$23,MATCH(B11,Plan!$C$13:$C$23,1))</f>
        <v>Account Executive</v>
      </c>
      <c r="D11" s="24">
        <f>IF(A11&lt;=100,Plan!$C$5+(Plan!$C$6-Plan!$C$5)*(A11-1)/99,IF(A11&lt;=200,Plan!$C$6+(Plan!$C$7-Plan!$C$6)*(A11-100)/100,Plan!$C$7))</f>
        <v>0.08363636364</v>
      </c>
      <c r="E11" s="25">
        <f>D11*Plan!$C$8</f>
        <v>836.3636364</v>
      </c>
      <c r="F11" s="44">
        <f t="shared" si="3"/>
        <v>36.36363636</v>
      </c>
      <c r="G11" s="14">
        <f t="shared" si="4"/>
        <v>0</v>
      </c>
      <c r="H11" s="41">
        <f t="shared" si="1"/>
        <v>872.7272727</v>
      </c>
      <c r="I11" s="40">
        <f t="shared" si="2"/>
        <v>6854.545455</v>
      </c>
      <c r="K11" s="42">
        <f>SUMPRODUCT((B11&gt;=Plan!$C$13:$C$23)*Plan!$D$13:$D$23)</f>
        <v>1000</v>
      </c>
    </row>
    <row r="12">
      <c r="A12" s="43">
        <v>8.0</v>
      </c>
      <c r="B12" s="14">
        <f>8*Plan!$C$8</f>
        <v>80000</v>
      </c>
      <c r="C12" s="43" t="str">
        <f t="array" ref="C12">INDEX(Plan!$B$13:$B$23,MATCH(B12,Plan!$C$13:$C$23,1))</f>
        <v>Account Executive</v>
      </c>
      <c r="D12" s="24">
        <f>IF(A12&lt;=100,Plan!$C$5+(Plan!$C$6-Plan!$C$5)*(A12-1)/99,IF(A12&lt;=200,Plan!$C$6+(Plan!$C$7-Plan!$C$6)*(A12-100)/100,Plan!$C$7))</f>
        <v>0.08424242424</v>
      </c>
      <c r="E12" s="25">
        <f>D12*Plan!$C$8</f>
        <v>842.4242424</v>
      </c>
      <c r="F12" s="44">
        <f t="shared" si="3"/>
        <v>42.42424242</v>
      </c>
      <c r="G12" s="14">
        <f t="shared" si="4"/>
        <v>0</v>
      </c>
      <c r="H12" s="41">
        <f t="shared" si="1"/>
        <v>884.8484848</v>
      </c>
      <c r="I12" s="40">
        <f t="shared" si="2"/>
        <v>7739.393939</v>
      </c>
      <c r="K12" s="42">
        <f>SUMPRODUCT((B12&gt;=Plan!$C$13:$C$23)*Plan!$D$13:$D$23)</f>
        <v>1000</v>
      </c>
    </row>
    <row r="13">
      <c r="A13" s="43">
        <v>9.0</v>
      </c>
      <c r="B13" s="14">
        <f>9*Plan!$C$8</f>
        <v>90000</v>
      </c>
      <c r="C13" s="43" t="str">
        <f t="array" ref="C13">INDEX(Plan!$B$13:$B$23,MATCH(B13,Plan!$C$13:$C$23,1))</f>
        <v>Account Executive</v>
      </c>
      <c r="D13" s="24">
        <f>IF(A13&lt;=100,Plan!$C$5+(Plan!$C$6-Plan!$C$5)*(A13-1)/99,IF(A13&lt;=200,Plan!$C$6+(Plan!$C$7-Plan!$C$6)*(A13-100)/100,Plan!$C$7))</f>
        <v>0.08484848485</v>
      </c>
      <c r="E13" s="25">
        <f>D13*Plan!$C$8</f>
        <v>848.4848485</v>
      </c>
      <c r="F13" s="44">
        <f t="shared" si="3"/>
        <v>48.48484848</v>
      </c>
      <c r="G13" s="14">
        <f t="shared" si="4"/>
        <v>0</v>
      </c>
      <c r="H13" s="41">
        <f t="shared" si="1"/>
        <v>896.969697</v>
      </c>
      <c r="I13" s="40">
        <f t="shared" si="2"/>
        <v>8636.363636</v>
      </c>
      <c r="K13" s="42">
        <f>SUMPRODUCT((B13&gt;=Plan!$C$13:$C$23)*Plan!$D$13:$D$23)</f>
        <v>1000</v>
      </c>
    </row>
    <row r="14">
      <c r="A14" s="43">
        <v>10.0</v>
      </c>
      <c r="B14" s="14">
        <f>10*Plan!$C$8</f>
        <v>100000</v>
      </c>
      <c r="C14" s="43" t="str">
        <f t="array" ref="C14">INDEX(Plan!$B$13:$B$23,MATCH(B14,Plan!$C$13:$C$23,1))</f>
        <v>Account Executive</v>
      </c>
      <c r="D14" s="24">
        <f>IF(A14&lt;=100,Plan!$C$5+(Plan!$C$6-Plan!$C$5)*(A14-1)/99,IF(A14&lt;=200,Plan!$C$6+(Plan!$C$7-Plan!$C$6)*(A14-100)/100,Plan!$C$7))</f>
        <v>0.08545454545</v>
      </c>
      <c r="E14" s="25">
        <f>D14*Plan!$C$8</f>
        <v>854.5454545</v>
      </c>
      <c r="F14" s="44">
        <f t="shared" si="3"/>
        <v>54.54545455</v>
      </c>
      <c r="G14" s="14">
        <f t="shared" si="4"/>
        <v>0</v>
      </c>
      <c r="H14" s="41">
        <f t="shared" si="1"/>
        <v>909.0909091</v>
      </c>
      <c r="I14" s="40">
        <f t="shared" si="2"/>
        <v>9545.454545</v>
      </c>
      <c r="K14" s="42">
        <f>SUMPRODUCT((B14&gt;=Plan!$C$13:$C$23)*Plan!$D$13:$D$23)</f>
        <v>1000</v>
      </c>
    </row>
    <row r="15">
      <c r="A15" s="43">
        <v>11.0</v>
      </c>
      <c r="B15" s="14">
        <f>11*Plan!$C$8</f>
        <v>110000</v>
      </c>
      <c r="C15" s="43" t="str">
        <f t="array" ref="C15">INDEX(Plan!$B$13:$B$23,MATCH(B15,Plan!$C$13:$C$23,1))</f>
        <v>Account Executive</v>
      </c>
      <c r="D15" s="24">
        <f>IF(A15&lt;=100,Plan!$C$5+(Plan!$C$6-Plan!$C$5)*(A15-1)/99,IF(A15&lt;=200,Plan!$C$6+(Plan!$C$7-Plan!$C$6)*(A15-100)/100,Plan!$C$7))</f>
        <v>0.08606060606</v>
      </c>
      <c r="E15" s="25">
        <f>D15*Plan!$C$8</f>
        <v>860.6060606</v>
      </c>
      <c r="F15" s="44">
        <f t="shared" si="3"/>
        <v>60.60606061</v>
      </c>
      <c r="G15" s="14">
        <f t="shared" si="4"/>
        <v>0</v>
      </c>
      <c r="H15" s="41">
        <f t="shared" si="1"/>
        <v>921.2121212</v>
      </c>
      <c r="I15" s="40">
        <f t="shared" si="2"/>
        <v>10466.66667</v>
      </c>
      <c r="K15" s="42">
        <f>SUMPRODUCT((B15&gt;=Plan!$C$13:$C$23)*Plan!$D$13:$D$23)</f>
        <v>1000</v>
      </c>
    </row>
    <row r="16">
      <c r="A16" s="43">
        <v>12.0</v>
      </c>
      <c r="B16" s="14">
        <f>12*Plan!$C$8</f>
        <v>120000</v>
      </c>
      <c r="C16" s="43" t="str">
        <f t="array" ref="C16">INDEX(Plan!$B$13:$B$23,MATCH(B16,Plan!$C$13:$C$23,1))</f>
        <v>Account Executive</v>
      </c>
      <c r="D16" s="24">
        <f>IF(A16&lt;=100,Plan!$C$5+(Plan!$C$6-Plan!$C$5)*(A16-1)/99,IF(A16&lt;=200,Plan!$C$6+(Plan!$C$7-Plan!$C$6)*(A16-100)/100,Plan!$C$7))</f>
        <v>0.08666666667</v>
      </c>
      <c r="E16" s="25">
        <f>D16*Plan!$C$8</f>
        <v>866.6666667</v>
      </c>
      <c r="F16" s="44">
        <f t="shared" si="3"/>
        <v>66.66666667</v>
      </c>
      <c r="G16" s="14">
        <f t="shared" si="4"/>
        <v>0</v>
      </c>
      <c r="H16" s="41">
        <f t="shared" si="1"/>
        <v>933.3333333</v>
      </c>
      <c r="I16" s="40">
        <f t="shared" si="2"/>
        <v>11400</v>
      </c>
      <c r="K16" s="42">
        <f>SUMPRODUCT((B16&gt;=Plan!$C$13:$C$23)*Plan!$D$13:$D$23)</f>
        <v>1000</v>
      </c>
    </row>
    <row r="17">
      <c r="A17" s="43">
        <v>13.0</v>
      </c>
      <c r="B17" s="14">
        <f>13*Plan!$C$8</f>
        <v>130000</v>
      </c>
      <c r="C17" s="43" t="str">
        <f t="array" ref="C17">INDEX(Plan!$B$13:$B$23,MATCH(B17,Plan!$C$13:$C$23,1))</f>
        <v>Senior Account Executive</v>
      </c>
      <c r="D17" s="24">
        <f>IF(A17&lt;=100,Plan!$C$5+(Plan!$C$6-Plan!$C$5)*(A17-1)/99,IF(A17&lt;=200,Plan!$C$6+(Plan!$C$7-Plan!$C$6)*(A17-100)/100,Plan!$C$7))</f>
        <v>0.08727272727</v>
      </c>
      <c r="E17" s="25">
        <f>D17*Plan!$C$8</f>
        <v>872.7272727</v>
      </c>
      <c r="F17" s="44">
        <f t="shared" si="3"/>
        <v>72.72727273</v>
      </c>
      <c r="G17" s="14">
        <f t="shared" si="4"/>
        <v>1500</v>
      </c>
      <c r="H17" s="41">
        <f t="shared" si="1"/>
        <v>2445.454545</v>
      </c>
      <c r="I17" s="40">
        <f t="shared" si="2"/>
        <v>13845.45455</v>
      </c>
      <c r="K17" s="42">
        <f>SUMPRODUCT((B17&gt;=Plan!$C$13:$C$23)*Plan!$D$13:$D$23)</f>
        <v>2500</v>
      </c>
    </row>
    <row r="18">
      <c r="A18" s="43">
        <v>14.0</v>
      </c>
      <c r="B18" s="14">
        <f>14*Plan!$C$8</f>
        <v>140000</v>
      </c>
      <c r="C18" s="43" t="str">
        <f t="array" ref="C18">INDEX(Plan!$B$13:$B$23,MATCH(B18,Plan!$C$13:$C$23,1))</f>
        <v>Senior Account Executive</v>
      </c>
      <c r="D18" s="24">
        <f>IF(A18&lt;=100,Plan!$C$5+(Plan!$C$6-Plan!$C$5)*(A18-1)/99,IF(A18&lt;=200,Plan!$C$6+(Plan!$C$7-Plan!$C$6)*(A18-100)/100,Plan!$C$7))</f>
        <v>0.08787878788</v>
      </c>
      <c r="E18" s="25">
        <f>D18*Plan!$C$8</f>
        <v>878.7878788</v>
      </c>
      <c r="F18" s="44">
        <f t="shared" si="3"/>
        <v>78.78787879</v>
      </c>
      <c r="G18" s="14">
        <f t="shared" si="4"/>
        <v>0</v>
      </c>
      <c r="H18" s="41">
        <f t="shared" si="1"/>
        <v>957.5757576</v>
      </c>
      <c r="I18" s="40">
        <f t="shared" si="2"/>
        <v>14803.0303</v>
      </c>
      <c r="K18" s="42">
        <f>SUMPRODUCT((B18&gt;=Plan!$C$13:$C$23)*Plan!$D$13:$D$23)</f>
        <v>2500</v>
      </c>
    </row>
    <row r="19">
      <c r="A19" s="43">
        <v>15.0</v>
      </c>
      <c r="B19" s="14">
        <f>15*Plan!$C$8</f>
        <v>150000</v>
      </c>
      <c r="C19" s="43" t="str">
        <f t="array" ref="C19">INDEX(Plan!$B$13:$B$23,MATCH(B19,Plan!$C$13:$C$23,1))</f>
        <v>Senior Account Executive</v>
      </c>
      <c r="D19" s="24">
        <f>IF(A19&lt;=100,Plan!$C$5+(Plan!$C$6-Plan!$C$5)*(A19-1)/99,IF(A19&lt;=200,Plan!$C$6+(Plan!$C$7-Plan!$C$6)*(A19-100)/100,Plan!$C$7))</f>
        <v>0.08848484848</v>
      </c>
      <c r="E19" s="25">
        <f>D19*Plan!$C$8</f>
        <v>884.8484848</v>
      </c>
      <c r="F19" s="44">
        <f t="shared" si="3"/>
        <v>84.84848485</v>
      </c>
      <c r="G19" s="14">
        <f t="shared" si="4"/>
        <v>0</v>
      </c>
      <c r="H19" s="41">
        <f t="shared" si="1"/>
        <v>969.6969697</v>
      </c>
      <c r="I19" s="40">
        <f t="shared" si="2"/>
        <v>15772.72727</v>
      </c>
      <c r="K19" s="42">
        <f>SUMPRODUCT((B19&gt;=Plan!$C$13:$C$23)*Plan!$D$13:$D$23)</f>
        <v>2500</v>
      </c>
    </row>
    <row r="20">
      <c r="A20" s="43">
        <v>16.0</v>
      </c>
      <c r="B20" s="14">
        <f>16*Plan!$C$8</f>
        <v>160000</v>
      </c>
      <c r="C20" s="43" t="str">
        <f t="array" ref="C20">INDEX(Plan!$B$13:$B$23,MATCH(B20,Plan!$C$13:$C$23,1))</f>
        <v>Senior Account Executive</v>
      </c>
      <c r="D20" s="24">
        <f>IF(A20&lt;=100,Plan!$C$5+(Plan!$C$6-Plan!$C$5)*(A20-1)/99,IF(A20&lt;=200,Plan!$C$6+(Plan!$C$7-Plan!$C$6)*(A20-100)/100,Plan!$C$7))</f>
        <v>0.08909090909</v>
      </c>
      <c r="E20" s="25">
        <f>D20*Plan!$C$8</f>
        <v>890.9090909</v>
      </c>
      <c r="F20" s="44">
        <f t="shared" si="3"/>
        <v>90.90909091</v>
      </c>
      <c r="G20" s="14">
        <f t="shared" si="4"/>
        <v>0</v>
      </c>
      <c r="H20" s="41">
        <f t="shared" si="1"/>
        <v>981.8181818</v>
      </c>
      <c r="I20" s="40">
        <f t="shared" si="2"/>
        <v>16754.54545</v>
      </c>
      <c r="K20" s="42">
        <f>SUMPRODUCT((B20&gt;=Plan!$C$13:$C$23)*Plan!$D$13:$D$23)</f>
        <v>2500</v>
      </c>
    </row>
    <row r="21" ht="15.75" customHeight="1">
      <c r="A21" s="43">
        <v>17.0</v>
      </c>
      <c r="B21" s="14">
        <f>17*Plan!$C$8</f>
        <v>170000</v>
      </c>
      <c r="C21" s="43" t="str">
        <f t="array" ref="C21">INDEX(Plan!$B$13:$B$23,MATCH(B21,Plan!$C$13:$C$23,1))</f>
        <v>Senior Account Executive</v>
      </c>
      <c r="D21" s="24">
        <f>IF(A21&lt;=100,Plan!$C$5+(Plan!$C$6-Plan!$C$5)*(A21-1)/99,IF(A21&lt;=200,Plan!$C$6+(Plan!$C$7-Plan!$C$6)*(A21-100)/100,Plan!$C$7))</f>
        <v>0.0896969697</v>
      </c>
      <c r="E21" s="25">
        <f>D21*Plan!$C$8</f>
        <v>896.969697</v>
      </c>
      <c r="F21" s="44">
        <f t="shared" si="3"/>
        <v>96.96969697</v>
      </c>
      <c r="G21" s="14">
        <f t="shared" si="4"/>
        <v>0</v>
      </c>
      <c r="H21" s="41">
        <f t="shared" si="1"/>
        <v>993.9393939</v>
      </c>
      <c r="I21" s="40">
        <f t="shared" si="2"/>
        <v>17748.48485</v>
      </c>
      <c r="K21" s="42">
        <f>SUMPRODUCT((B21&gt;=Plan!$C$13:$C$23)*Plan!$D$13:$D$23)</f>
        <v>2500</v>
      </c>
    </row>
    <row r="22" ht="15.75" customHeight="1">
      <c r="A22" s="43">
        <v>18.0</v>
      </c>
      <c r="B22" s="14">
        <f>18*Plan!$C$8</f>
        <v>180000</v>
      </c>
      <c r="C22" s="43" t="str">
        <f t="array" ref="C22">INDEX(Plan!$B$13:$B$23,MATCH(B22,Plan!$C$13:$C$23,1))</f>
        <v>Senior Account Executive</v>
      </c>
      <c r="D22" s="24">
        <f>IF(A22&lt;=100,Plan!$C$5+(Plan!$C$6-Plan!$C$5)*(A22-1)/99,IF(A22&lt;=200,Plan!$C$6+(Plan!$C$7-Plan!$C$6)*(A22-100)/100,Plan!$C$7))</f>
        <v>0.0903030303</v>
      </c>
      <c r="E22" s="25">
        <f>D22*Plan!$C$8</f>
        <v>903.030303</v>
      </c>
      <c r="F22" s="44">
        <f t="shared" si="3"/>
        <v>103.030303</v>
      </c>
      <c r="G22" s="14">
        <f t="shared" si="4"/>
        <v>0</v>
      </c>
      <c r="H22" s="41">
        <f t="shared" si="1"/>
        <v>1006.060606</v>
      </c>
      <c r="I22" s="40">
        <f t="shared" si="2"/>
        <v>18754.54545</v>
      </c>
      <c r="K22" s="42">
        <f>SUMPRODUCT((B22&gt;=Plan!$C$13:$C$23)*Plan!$D$13:$D$23)</f>
        <v>2500</v>
      </c>
    </row>
    <row r="23" ht="15.75" customHeight="1">
      <c r="A23" s="43">
        <v>19.0</v>
      </c>
      <c r="B23" s="14">
        <f>19*Plan!$C$8</f>
        <v>190000</v>
      </c>
      <c r="C23" s="43" t="str">
        <f t="array" ref="C23">INDEX(Plan!$B$13:$B$23,MATCH(B23,Plan!$C$13:$C$23,1))</f>
        <v>Senior Account Executive</v>
      </c>
      <c r="D23" s="24">
        <f>IF(A23&lt;=100,Plan!$C$5+(Plan!$C$6-Plan!$C$5)*(A23-1)/99,IF(A23&lt;=200,Plan!$C$6+(Plan!$C$7-Plan!$C$6)*(A23-100)/100,Plan!$C$7))</f>
        <v>0.09090909091</v>
      </c>
      <c r="E23" s="25">
        <f>D23*Plan!$C$8</f>
        <v>909.0909091</v>
      </c>
      <c r="F23" s="44">
        <f t="shared" si="3"/>
        <v>109.0909091</v>
      </c>
      <c r="G23" s="14">
        <f t="shared" si="4"/>
        <v>0</v>
      </c>
      <c r="H23" s="41">
        <f t="shared" si="1"/>
        <v>1018.181818</v>
      </c>
      <c r="I23" s="40">
        <f t="shared" si="2"/>
        <v>19772.72727</v>
      </c>
      <c r="K23" s="42">
        <f>SUMPRODUCT((B23&gt;=Plan!$C$13:$C$23)*Plan!$D$13:$D$23)</f>
        <v>2500</v>
      </c>
    </row>
    <row r="24" ht="15.75" customHeight="1">
      <c r="A24" s="43">
        <v>20.0</v>
      </c>
      <c r="B24" s="14">
        <f>20*Plan!$C$8</f>
        <v>200000</v>
      </c>
      <c r="C24" s="43" t="str">
        <f t="array" ref="C24">INDEX(Plan!$B$13:$B$23,MATCH(B24,Plan!$C$13:$C$23,1))</f>
        <v>Senior Account Executive</v>
      </c>
      <c r="D24" s="24">
        <f>IF(A24&lt;=100,Plan!$C$5+(Plan!$C$6-Plan!$C$5)*(A24-1)/99,IF(A24&lt;=200,Plan!$C$6+(Plan!$C$7-Plan!$C$6)*(A24-100)/100,Plan!$C$7))</f>
        <v>0.09151515152</v>
      </c>
      <c r="E24" s="25">
        <f>D24*Plan!$C$8</f>
        <v>915.1515152</v>
      </c>
      <c r="F24" s="44">
        <f t="shared" si="3"/>
        <v>115.1515152</v>
      </c>
      <c r="G24" s="14">
        <f t="shared" si="4"/>
        <v>0</v>
      </c>
      <c r="H24" s="41">
        <f t="shared" si="1"/>
        <v>1030.30303</v>
      </c>
      <c r="I24" s="40">
        <f t="shared" si="2"/>
        <v>20803.0303</v>
      </c>
      <c r="K24" s="42">
        <f>SUMPRODUCT((B24&gt;=Plan!$C$13:$C$23)*Plan!$D$13:$D$23)</f>
        <v>2500</v>
      </c>
    </row>
    <row r="25" ht="15.75" customHeight="1">
      <c r="A25" s="43">
        <v>21.0</v>
      </c>
      <c r="B25" s="14">
        <f>21*Plan!$C$8</f>
        <v>210000</v>
      </c>
      <c r="C25" s="43" t="str">
        <f t="array" ref="C25">INDEX(Plan!$B$13:$B$23,MATCH(B25,Plan!$C$13:$C$23,1))</f>
        <v>Senior Account Executive</v>
      </c>
      <c r="D25" s="24">
        <f>IF(A25&lt;=100,Plan!$C$5+(Plan!$C$6-Plan!$C$5)*(A25-1)/99,IF(A25&lt;=200,Plan!$C$6+(Plan!$C$7-Plan!$C$6)*(A25-100)/100,Plan!$C$7))</f>
        <v>0.09212121212</v>
      </c>
      <c r="E25" s="25">
        <f>D25*Plan!$C$8</f>
        <v>921.2121212</v>
      </c>
      <c r="F25" s="44">
        <f t="shared" si="3"/>
        <v>121.2121212</v>
      </c>
      <c r="G25" s="14">
        <f t="shared" si="4"/>
        <v>0</v>
      </c>
      <c r="H25" s="41">
        <f t="shared" si="1"/>
        <v>1042.424242</v>
      </c>
      <c r="I25" s="40">
        <f t="shared" si="2"/>
        <v>21845.45455</v>
      </c>
      <c r="K25" s="42">
        <f>SUMPRODUCT((B25&gt;=Plan!$C$13:$C$23)*Plan!$D$13:$D$23)</f>
        <v>2500</v>
      </c>
    </row>
    <row r="26" ht="15.75" customHeight="1">
      <c r="A26" s="43">
        <v>22.0</v>
      </c>
      <c r="B26" s="14">
        <f>22*Plan!$C$8</f>
        <v>220000</v>
      </c>
      <c r="C26" s="43" t="str">
        <f t="array" ref="C26">INDEX(Plan!$B$13:$B$23,MATCH(B26,Plan!$C$13:$C$23,1))</f>
        <v>Senior Account Executive</v>
      </c>
      <c r="D26" s="24">
        <f>IF(A26&lt;=100,Plan!$C$5+(Plan!$C$6-Plan!$C$5)*(A26-1)/99,IF(A26&lt;=200,Plan!$C$6+(Plan!$C$7-Plan!$C$6)*(A26-100)/100,Plan!$C$7))</f>
        <v>0.09272727273</v>
      </c>
      <c r="E26" s="25">
        <f>D26*Plan!$C$8</f>
        <v>927.2727273</v>
      </c>
      <c r="F26" s="44">
        <f t="shared" si="3"/>
        <v>127.2727273</v>
      </c>
      <c r="G26" s="14">
        <f t="shared" si="4"/>
        <v>0</v>
      </c>
      <c r="H26" s="41">
        <f t="shared" si="1"/>
        <v>1054.545455</v>
      </c>
      <c r="I26" s="40">
        <f t="shared" si="2"/>
        <v>22900</v>
      </c>
      <c r="K26" s="42">
        <f>SUMPRODUCT((B26&gt;=Plan!$C$13:$C$23)*Plan!$D$13:$D$23)</f>
        <v>2500</v>
      </c>
    </row>
    <row r="27" ht="15.75" customHeight="1">
      <c r="A27" s="43">
        <v>23.0</v>
      </c>
      <c r="B27" s="14">
        <f>23*Plan!$C$8</f>
        <v>230000</v>
      </c>
      <c r="C27" s="43" t="str">
        <f t="array" ref="C27">INDEX(Plan!$B$13:$B$23,MATCH(B27,Plan!$C$13:$C$23,1))</f>
        <v>Account Director</v>
      </c>
      <c r="D27" s="24">
        <f>IF(A27&lt;=100,Plan!$C$5+(Plan!$C$6-Plan!$C$5)*(A27-1)/99,IF(A27&lt;=200,Plan!$C$6+(Plan!$C$7-Plan!$C$6)*(A27-100)/100,Plan!$C$7))</f>
        <v>0.09333333333</v>
      </c>
      <c r="E27" s="25">
        <f>D27*Plan!$C$8</f>
        <v>933.3333333</v>
      </c>
      <c r="F27" s="44">
        <f t="shared" si="3"/>
        <v>133.3333333</v>
      </c>
      <c r="G27" s="14">
        <f t="shared" si="4"/>
        <v>2000</v>
      </c>
      <c r="H27" s="41">
        <f t="shared" si="1"/>
        <v>3066.666667</v>
      </c>
      <c r="I27" s="40">
        <f t="shared" si="2"/>
        <v>25966.66667</v>
      </c>
      <c r="K27" s="42">
        <f>SUMPRODUCT((B27&gt;=Plan!$C$13:$C$23)*Plan!$D$13:$D$23)</f>
        <v>4500</v>
      </c>
    </row>
    <row r="28" ht="15.75" customHeight="1">
      <c r="A28" s="43">
        <v>24.0</v>
      </c>
      <c r="B28" s="14">
        <f>24*Plan!$C$8</f>
        <v>240000</v>
      </c>
      <c r="C28" s="43" t="str">
        <f t="array" ref="C28">INDEX(Plan!$B$13:$B$23,MATCH(B28,Plan!$C$13:$C$23,1))</f>
        <v>Account Director</v>
      </c>
      <c r="D28" s="24">
        <f>IF(A28&lt;=100,Plan!$C$5+(Plan!$C$6-Plan!$C$5)*(A28-1)/99,IF(A28&lt;=200,Plan!$C$6+(Plan!$C$7-Plan!$C$6)*(A28-100)/100,Plan!$C$7))</f>
        <v>0.09393939394</v>
      </c>
      <c r="E28" s="25">
        <f>D28*Plan!$C$8</f>
        <v>939.3939394</v>
      </c>
      <c r="F28" s="44">
        <f t="shared" si="3"/>
        <v>139.3939394</v>
      </c>
      <c r="G28" s="14">
        <f t="shared" si="4"/>
        <v>0</v>
      </c>
      <c r="H28" s="41">
        <f t="shared" si="1"/>
        <v>1078.787879</v>
      </c>
      <c r="I28" s="40">
        <f t="shared" si="2"/>
        <v>27045.45455</v>
      </c>
      <c r="K28" s="42">
        <f>SUMPRODUCT((B28&gt;=Plan!$C$13:$C$23)*Plan!$D$13:$D$23)</f>
        <v>4500</v>
      </c>
    </row>
    <row r="29" ht="15.75" customHeight="1">
      <c r="A29" s="43">
        <v>25.0</v>
      </c>
      <c r="B29" s="14">
        <f>25*Plan!$C$8</f>
        <v>250000</v>
      </c>
      <c r="C29" s="43" t="str">
        <f t="array" ref="C29">INDEX(Plan!$B$13:$B$23,MATCH(B29,Plan!$C$13:$C$23,1))</f>
        <v>Account Director</v>
      </c>
      <c r="D29" s="24">
        <f>IF(A29&lt;=100,Plan!$C$5+(Plan!$C$6-Plan!$C$5)*(A29-1)/99,IF(A29&lt;=200,Plan!$C$6+(Plan!$C$7-Plan!$C$6)*(A29-100)/100,Plan!$C$7))</f>
        <v>0.09454545455</v>
      </c>
      <c r="E29" s="25">
        <f>D29*Plan!$C$8</f>
        <v>945.4545455</v>
      </c>
      <c r="F29" s="44">
        <f t="shared" si="3"/>
        <v>145.4545455</v>
      </c>
      <c r="G29" s="14">
        <f t="shared" si="4"/>
        <v>0</v>
      </c>
      <c r="H29" s="41">
        <f t="shared" si="1"/>
        <v>1090.909091</v>
      </c>
      <c r="I29" s="40">
        <f t="shared" si="2"/>
        <v>28136.36364</v>
      </c>
      <c r="K29" s="42">
        <f>SUMPRODUCT((B29&gt;=Plan!$C$13:$C$23)*Plan!$D$13:$D$23)</f>
        <v>4500</v>
      </c>
    </row>
    <row r="30" ht="15.75" customHeight="1">
      <c r="A30" s="43">
        <v>26.0</v>
      </c>
      <c r="B30" s="14">
        <f>26*Plan!$C$8</f>
        <v>260000</v>
      </c>
      <c r="C30" s="43" t="str">
        <f t="array" ref="C30">INDEX(Plan!$B$13:$B$23,MATCH(B30,Plan!$C$13:$C$23,1))</f>
        <v>Account Director</v>
      </c>
      <c r="D30" s="24">
        <f>IF(A30&lt;=100,Plan!$C$5+(Plan!$C$6-Plan!$C$5)*(A30-1)/99,IF(A30&lt;=200,Plan!$C$6+(Plan!$C$7-Plan!$C$6)*(A30-100)/100,Plan!$C$7))</f>
        <v>0.09515151515</v>
      </c>
      <c r="E30" s="25">
        <f>D30*Plan!$C$8</f>
        <v>951.5151515</v>
      </c>
      <c r="F30" s="44">
        <f t="shared" si="3"/>
        <v>151.5151515</v>
      </c>
      <c r="G30" s="14">
        <f t="shared" si="4"/>
        <v>0</v>
      </c>
      <c r="H30" s="41">
        <f t="shared" si="1"/>
        <v>1103.030303</v>
      </c>
      <c r="I30" s="40">
        <f t="shared" si="2"/>
        <v>29239.39394</v>
      </c>
      <c r="K30" s="42">
        <f>SUMPRODUCT((B30&gt;=Plan!$C$13:$C$23)*Plan!$D$13:$D$23)</f>
        <v>4500</v>
      </c>
    </row>
    <row r="31" ht="15.75" customHeight="1">
      <c r="A31" s="43">
        <v>27.0</v>
      </c>
      <c r="B31" s="14">
        <f>27*Plan!$C$8</f>
        <v>270000</v>
      </c>
      <c r="C31" s="43" t="str">
        <f t="array" ref="C31">INDEX(Plan!$B$13:$B$23,MATCH(B31,Plan!$C$13:$C$23,1))</f>
        <v>Account Director</v>
      </c>
      <c r="D31" s="24">
        <f>IF(A31&lt;=100,Plan!$C$5+(Plan!$C$6-Plan!$C$5)*(A31-1)/99,IF(A31&lt;=200,Plan!$C$6+(Plan!$C$7-Plan!$C$6)*(A31-100)/100,Plan!$C$7))</f>
        <v>0.09575757576</v>
      </c>
      <c r="E31" s="25">
        <f>D31*Plan!$C$8</f>
        <v>957.5757576</v>
      </c>
      <c r="F31" s="44">
        <f t="shared" si="3"/>
        <v>157.5757576</v>
      </c>
      <c r="G31" s="14">
        <f t="shared" si="4"/>
        <v>0</v>
      </c>
      <c r="H31" s="41">
        <f t="shared" si="1"/>
        <v>1115.151515</v>
      </c>
      <c r="I31" s="40">
        <f t="shared" si="2"/>
        <v>30354.54545</v>
      </c>
      <c r="K31" s="42">
        <f>SUMPRODUCT((B31&gt;=Plan!$C$13:$C$23)*Plan!$D$13:$D$23)</f>
        <v>4500</v>
      </c>
    </row>
    <row r="32" ht="15.75" customHeight="1">
      <c r="A32" s="43">
        <v>28.0</v>
      </c>
      <c r="B32" s="14">
        <f>28*Plan!$C$8</f>
        <v>280000</v>
      </c>
      <c r="C32" s="43" t="str">
        <f t="array" ref="C32">INDEX(Plan!$B$13:$B$23,MATCH(B32,Plan!$C$13:$C$23,1))</f>
        <v>Account Director</v>
      </c>
      <c r="D32" s="24">
        <f>IF(A32&lt;=100,Plan!$C$5+(Plan!$C$6-Plan!$C$5)*(A32-1)/99,IF(A32&lt;=200,Plan!$C$6+(Plan!$C$7-Plan!$C$6)*(A32-100)/100,Plan!$C$7))</f>
        <v>0.09636363636</v>
      </c>
      <c r="E32" s="25">
        <f>D32*Plan!$C$8</f>
        <v>963.6363636</v>
      </c>
      <c r="F32" s="44">
        <f t="shared" si="3"/>
        <v>163.6363636</v>
      </c>
      <c r="G32" s="14">
        <f t="shared" si="4"/>
        <v>0</v>
      </c>
      <c r="H32" s="41">
        <f t="shared" si="1"/>
        <v>1127.272727</v>
      </c>
      <c r="I32" s="40">
        <f t="shared" si="2"/>
        <v>31481.81818</v>
      </c>
      <c r="K32" s="42">
        <f>SUMPRODUCT((B32&gt;=Plan!$C$13:$C$23)*Plan!$D$13:$D$23)</f>
        <v>4500</v>
      </c>
    </row>
    <row r="33" ht="15.75" customHeight="1">
      <c r="A33" s="43">
        <v>29.0</v>
      </c>
      <c r="B33" s="14">
        <f>29*Plan!$C$8</f>
        <v>290000</v>
      </c>
      <c r="C33" s="43" t="str">
        <f t="array" ref="C33">INDEX(Plan!$B$13:$B$23,MATCH(B33,Plan!$C$13:$C$23,1))</f>
        <v>Account Director</v>
      </c>
      <c r="D33" s="24">
        <f>IF(A33&lt;=100,Plan!$C$5+(Plan!$C$6-Plan!$C$5)*(A33-1)/99,IF(A33&lt;=200,Plan!$C$6+(Plan!$C$7-Plan!$C$6)*(A33-100)/100,Plan!$C$7))</f>
        <v>0.09696969697</v>
      </c>
      <c r="E33" s="25">
        <f>D33*Plan!$C$8</f>
        <v>969.6969697</v>
      </c>
      <c r="F33" s="44">
        <f t="shared" si="3"/>
        <v>169.6969697</v>
      </c>
      <c r="G33" s="14">
        <f t="shared" si="4"/>
        <v>0</v>
      </c>
      <c r="H33" s="41">
        <f t="shared" si="1"/>
        <v>1139.393939</v>
      </c>
      <c r="I33" s="40">
        <f t="shared" si="2"/>
        <v>32621.21212</v>
      </c>
      <c r="K33" s="42">
        <f>SUMPRODUCT((B33&gt;=Plan!$C$13:$C$23)*Plan!$D$13:$D$23)</f>
        <v>4500</v>
      </c>
    </row>
    <row r="34" ht="15.75" customHeight="1">
      <c r="A34" s="43">
        <v>30.0</v>
      </c>
      <c r="B34" s="14">
        <f>30*Plan!$C$8</f>
        <v>300000</v>
      </c>
      <c r="C34" s="43" t="str">
        <f t="array" ref="C34">INDEX(Plan!$B$13:$B$23,MATCH(B34,Plan!$C$13:$C$23,1))</f>
        <v>Account Director</v>
      </c>
      <c r="D34" s="24">
        <f>IF(A34&lt;=100,Plan!$C$5+(Plan!$C$6-Plan!$C$5)*(A34-1)/99,IF(A34&lt;=200,Plan!$C$6+(Plan!$C$7-Plan!$C$6)*(A34-100)/100,Plan!$C$7))</f>
        <v>0.09757575758</v>
      </c>
      <c r="E34" s="25">
        <f>D34*Plan!$C$8</f>
        <v>975.7575758</v>
      </c>
      <c r="F34" s="44">
        <f t="shared" si="3"/>
        <v>175.7575758</v>
      </c>
      <c r="G34" s="14">
        <f t="shared" si="4"/>
        <v>0</v>
      </c>
      <c r="H34" s="41">
        <f t="shared" si="1"/>
        <v>1151.515152</v>
      </c>
      <c r="I34" s="40">
        <f t="shared" si="2"/>
        <v>33772.72727</v>
      </c>
      <c r="K34" s="42">
        <f>SUMPRODUCT((B34&gt;=Plan!$C$13:$C$23)*Plan!$D$13:$D$23)</f>
        <v>4500</v>
      </c>
    </row>
    <row r="35" ht="15.75" customHeight="1">
      <c r="A35" s="43">
        <v>31.0</v>
      </c>
      <c r="B35" s="14">
        <f>31*Plan!$C$8</f>
        <v>310000</v>
      </c>
      <c r="C35" s="43" t="str">
        <f t="array" ref="C35">INDEX(Plan!$B$13:$B$23,MATCH(B35,Plan!$C$13:$C$23,1))</f>
        <v>Account Director</v>
      </c>
      <c r="D35" s="24">
        <f>IF(A35&lt;=100,Plan!$C$5+(Plan!$C$6-Plan!$C$5)*(A35-1)/99,IF(A35&lt;=200,Plan!$C$6+(Plan!$C$7-Plan!$C$6)*(A35-100)/100,Plan!$C$7))</f>
        <v>0.09818181818</v>
      </c>
      <c r="E35" s="25">
        <f>D35*Plan!$C$8</f>
        <v>981.8181818</v>
      </c>
      <c r="F35" s="44">
        <f t="shared" si="3"/>
        <v>181.8181818</v>
      </c>
      <c r="G35" s="14">
        <f t="shared" si="4"/>
        <v>0</v>
      </c>
      <c r="H35" s="41">
        <f t="shared" si="1"/>
        <v>1163.636364</v>
      </c>
      <c r="I35" s="40">
        <f t="shared" si="2"/>
        <v>34936.36364</v>
      </c>
      <c r="K35" s="42">
        <f>SUMPRODUCT((B35&gt;=Plan!$C$13:$C$23)*Plan!$D$13:$D$23)</f>
        <v>4500</v>
      </c>
    </row>
    <row r="36" ht="15.75" customHeight="1">
      <c r="A36" s="43">
        <v>32.0</v>
      </c>
      <c r="B36" s="14">
        <f>32*Plan!$C$8</f>
        <v>320000</v>
      </c>
      <c r="C36" s="43" t="str">
        <f t="array" ref="C36">INDEX(Plan!$B$13:$B$23,MATCH(B36,Plan!$C$13:$C$23,1))</f>
        <v>Account Director</v>
      </c>
      <c r="D36" s="24">
        <f>IF(A36&lt;=100,Plan!$C$5+(Plan!$C$6-Plan!$C$5)*(A36-1)/99,IF(A36&lt;=200,Plan!$C$6+(Plan!$C$7-Plan!$C$6)*(A36-100)/100,Plan!$C$7))</f>
        <v>0.09878787879</v>
      </c>
      <c r="E36" s="25">
        <f>D36*Plan!$C$8</f>
        <v>987.8787879</v>
      </c>
      <c r="F36" s="44">
        <f t="shared" si="3"/>
        <v>187.8787879</v>
      </c>
      <c r="G36" s="14">
        <f t="shared" si="4"/>
        <v>0</v>
      </c>
      <c r="H36" s="41">
        <f t="shared" si="1"/>
        <v>1175.757576</v>
      </c>
      <c r="I36" s="40">
        <f t="shared" si="2"/>
        <v>36112.12121</v>
      </c>
      <c r="K36" s="42">
        <f>SUMPRODUCT((B36&gt;=Plan!$C$13:$C$23)*Plan!$D$13:$D$23)</f>
        <v>4500</v>
      </c>
    </row>
    <row r="37" ht="15.75" customHeight="1">
      <c r="A37" s="43">
        <v>33.0</v>
      </c>
      <c r="B37" s="14">
        <f>33*Plan!$C$8</f>
        <v>330000</v>
      </c>
      <c r="C37" s="43" t="str">
        <f t="array" ref="C37">INDEX(Plan!$B$13:$B$23,MATCH(B37,Plan!$C$13:$C$23,1))</f>
        <v>Account Director</v>
      </c>
      <c r="D37" s="24">
        <f>IF(A37&lt;=100,Plan!$C$5+(Plan!$C$6-Plan!$C$5)*(A37-1)/99,IF(A37&lt;=200,Plan!$C$6+(Plan!$C$7-Plan!$C$6)*(A37-100)/100,Plan!$C$7))</f>
        <v>0.09939393939</v>
      </c>
      <c r="E37" s="25">
        <f>D37*Plan!$C$8</f>
        <v>993.9393939</v>
      </c>
      <c r="F37" s="44">
        <f t="shared" si="3"/>
        <v>193.9393939</v>
      </c>
      <c r="G37" s="14">
        <f t="shared" si="4"/>
        <v>0</v>
      </c>
      <c r="H37" s="41">
        <f t="shared" si="1"/>
        <v>1187.878788</v>
      </c>
      <c r="I37" s="40">
        <f t="shared" si="2"/>
        <v>37300</v>
      </c>
      <c r="K37" s="42">
        <f>SUMPRODUCT((B37&gt;=Plan!$C$13:$C$23)*Plan!$D$13:$D$23)</f>
        <v>4500</v>
      </c>
    </row>
    <row r="38" ht="15.75" customHeight="1">
      <c r="A38" s="43">
        <v>34.0</v>
      </c>
      <c r="B38" s="14">
        <f>34*Plan!$C$8</f>
        <v>340000</v>
      </c>
      <c r="C38" s="43" t="str">
        <f t="array" ref="C38">INDEX(Plan!$B$13:$B$23,MATCH(B38,Plan!$C$13:$C$23,1))</f>
        <v>Account Director</v>
      </c>
      <c r="D38" s="24">
        <f>IF(A38&lt;=100,Plan!$C$5+(Plan!$C$6-Plan!$C$5)*(A38-1)/99,IF(A38&lt;=200,Plan!$C$6+(Plan!$C$7-Plan!$C$6)*(A38-100)/100,Plan!$C$7))</f>
        <v>0.1</v>
      </c>
      <c r="E38" s="25">
        <f>D38*Plan!$C$8</f>
        <v>1000</v>
      </c>
      <c r="F38" s="44">
        <f t="shared" si="3"/>
        <v>200</v>
      </c>
      <c r="G38" s="14">
        <f t="shared" si="4"/>
        <v>0</v>
      </c>
      <c r="H38" s="41">
        <f t="shared" si="1"/>
        <v>1200</v>
      </c>
      <c r="I38" s="40">
        <f t="shared" si="2"/>
        <v>38500</v>
      </c>
      <c r="K38" s="42">
        <f>SUMPRODUCT((B38&gt;=Plan!$C$13:$C$23)*Plan!$D$13:$D$23)</f>
        <v>4500</v>
      </c>
    </row>
    <row r="39" ht="15.75" customHeight="1">
      <c r="A39" s="43">
        <v>35.0</v>
      </c>
      <c r="B39" s="14">
        <f>35*Plan!$C$8</f>
        <v>350000</v>
      </c>
      <c r="C39" s="43" t="str">
        <f t="array" ref="C39">INDEX(Plan!$B$13:$B$23,MATCH(B39,Plan!$C$13:$C$23,1))</f>
        <v>Senior Account Director</v>
      </c>
      <c r="D39" s="24">
        <f>IF(A39&lt;=100,Plan!$C$5+(Plan!$C$6-Plan!$C$5)*(A39-1)/99,IF(A39&lt;=200,Plan!$C$6+(Plan!$C$7-Plan!$C$6)*(A39-100)/100,Plan!$C$7))</f>
        <v>0.1006060606</v>
      </c>
      <c r="E39" s="25">
        <f>D39*Plan!$C$8</f>
        <v>1006.060606</v>
      </c>
      <c r="F39" s="44">
        <f t="shared" si="3"/>
        <v>206.0606061</v>
      </c>
      <c r="G39" s="14">
        <f t="shared" si="4"/>
        <v>2500</v>
      </c>
      <c r="H39" s="41">
        <f t="shared" si="1"/>
        <v>3712.121212</v>
      </c>
      <c r="I39" s="40">
        <f t="shared" si="2"/>
        <v>42212.12121</v>
      </c>
      <c r="K39" s="42">
        <f>SUMPRODUCT((B39&gt;=Plan!$C$13:$C$23)*Plan!$D$13:$D$23)</f>
        <v>7000</v>
      </c>
    </row>
    <row r="40" ht="15.75" customHeight="1">
      <c r="A40" s="43">
        <v>36.0</v>
      </c>
      <c r="B40" s="14">
        <f>36*Plan!$C$8</f>
        <v>360000</v>
      </c>
      <c r="C40" s="43" t="str">
        <f t="array" ref="C40">INDEX(Plan!$B$13:$B$23,MATCH(B40,Plan!$C$13:$C$23,1))</f>
        <v>Senior Account Director</v>
      </c>
      <c r="D40" s="24">
        <f>IF(A40&lt;=100,Plan!$C$5+(Plan!$C$6-Plan!$C$5)*(A40-1)/99,IF(A40&lt;=200,Plan!$C$6+(Plan!$C$7-Plan!$C$6)*(A40-100)/100,Plan!$C$7))</f>
        <v>0.1012121212</v>
      </c>
      <c r="E40" s="25">
        <f>D40*Plan!$C$8</f>
        <v>1012.121212</v>
      </c>
      <c r="F40" s="44">
        <f t="shared" si="3"/>
        <v>212.1212121</v>
      </c>
      <c r="G40" s="14">
        <f t="shared" si="4"/>
        <v>0</v>
      </c>
      <c r="H40" s="41">
        <f t="shared" si="1"/>
        <v>1224.242424</v>
      </c>
      <c r="I40" s="40">
        <f t="shared" si="2"/>
        <v>43436.36364</v>
      </c>
      <c r="K40" s="42">
        <f>SUMPRODUCT((B40&gt;=Plan!$C$13:$C$23)*Plan!$D$13:$D$23)</f>
        <v>7000</v>
      </c>
    </row>
    <row r="41" ht="15.75" customHeight="1">
      <c r="A41" s="43">
        <v>37.0</v>
      </c>
      <c r="B41" s="14">
        <f>37*Plan!$C$8</f>
        <v>370000</v>
      </c>
      <c r="C41" s="43" t="str">
        <f t="array" ref="C41">INDEX(Plan!$B$13:$B$23,MATCH(B41,Plan!$C$13:$C$23,1))</f>
        <v>Senior Account Director</v>
      </c>
      <c r="D41" s="24">
        <f>IF(A41&lt;=100,Plan!$C$5+(Plan!$C$6-Plan!$C$5)*(A41-1)/99,IF(A41&lt;=200,Plan!$C$6+(Plan!$C$7-Plan!$C$6)*(A41-100)/100,Plan!$C$7))</f>
        <v>0.1018181818</v>
      </c>
      <c r="E41" s="25">
        <f>D41*Plan!$C$8</f>
        <v>1018.181818</v>
      </c>
      <c r="F41" s="44">
        <f t="shared" si="3"/>
        <v>218.1818182</v>
      </c>
      <c r="G41" s="14">
        <f t="shared" si="4"/>
        <v>0</v>
      </c>
      <c r="H41" s="41">
        <f t="shared" si="1"/>
        <v>1236.363636</v>
      </c>
      <c r="I41" s="40">
        <f t="shared" si="2"/>
        <v>44672.72727</v>
      </c>
      <c r="K41" s="42">
        <f>SUMPRODUCT((B41&gt;=Plan!$C$13:$C$23)*Plan!$D$13:$D$23)</f>
        <v>7000</v>
      </c>
    </row>
    <row r="42" ht="15.75" customHeight="1">
      <c r="A42" s="43">
        <v>38.0</v>
      </c>
      <c r="B42" s="14">
        <f>38*Plan!$C$8</f>
        <v>380000</v>
      </c>
      <c r="C42" s="43" t="str">
        <f t="array" ref="C42">INDEX(Plan!$B$13:$B$23,MATCH(B42,Plan!$C$13:$C$23,1))</f>
        <v>Senior Account Director</v>
      </c>
      <c r="D42" s="24">
        <f>IF(A42&lt;=100,Plan!$C$5+(Plan!$C$6-Plan!$C$5)*(A42-1)/99,IF(A42&lt;=200,Plan!$C$6+(Plan!$C$7-Plan!$C$6)*(A42-100)/100,Plan!$C$7))</f>
        <v>0.1024242424</v>
      </c>
      <c r="E42" s="25">
        <f>D42*Plan!$C$8</f>
        <v>1024.242424</v>
      </c>
      <c r="F42" s="44">
        <f t="shared" si="3"/>
        <v>224.2424242</v>
      </c>
      <c r="G42" s="14">
        <f t="shared" si="4"/>
        <v>0</v>
      </c>
      <c r="H42" s="41">
        <f t="shared" si="1"/>
        <v>1248.484848</v>
      </c>
      <c r="I42" s="40">
        <f t="shared" si="2"/>
        <v>45921.21212</v>
      </c>
      <c r="K42" s="42">
        <f>SUMPRODUCT((B42&gt;=Plan!$C$13:$C$23)*Plan!$D$13:$D$23)</f>
        <v>7000</v>
      </c>
    </row>
    <row r="43" ht="15.75" customHeight="1">
      <c r="A43" s="43">
        <v>39.0</v>
      </c>
      <c r="B43" s="14">
        <f>39*Plan!$C$8</f>
        <v>390000</v>
      </c>
      <c r="C43" s="43" t="str">
        <f t="array" ref="C43">INDEX(Plan!$B$13:$B$23,MATCH(B43,Plan!$C$13:$C$23,1))</f>
        <v>Senior Account Director</v>
      </c>
      <c r="D43" s="24">
        <f>IF(A43&lt;=100,Plan!$C$5+(Plan!$C$6-Plan!$C$5)*(A43-1)/99,IF(A43&lt;=200,Plan!$C$6+(Plan!$C$7-Plan!$C$6)*(A43-100)/100,Plan!$C$7))</f>
        <v>0.103030303</v>
      </c>
      <c r="E43" s="25">
        <f>D43*Plan!$C$8</f>
        <v>1030.30303</v>
      </c>
      <c r="F43" s="44">
        <f t="shared" si="3"/>
        <v>230.3030303</v>
      </c>
      <c r="G43" s="14">
        <f t="shared" si="4"/>
        <v>0</v>
      </c>
      <c r="H43" s="41">
        <f t="shared" si="1"/>
        <v>1260.606061</v>
      </c>
      <c r="I43" s="40">
        <f t="shared" si="2"/>
        <v>47181.81818</v>
      </c>
      <c r="K43" s="42">
        <f>SUMPRODUCT((B43&gt;=Plan!$C$13:$C$23)*Plan!$D$13:$D$23)</f>
        <v>7000</v>
      </c>
    </row>
    <row r="44" ht="15.75" customHeight="1">
      <c r="A44" s="43">
        <v>40.0</v>
      </c>
      <c r="B44" s="14">
        <f>40*Plan!$C$8</f>
        <v>400000</v>
      </c>
      <c r="C44" s="43" t="str">
        <f t="array" ref="C44">INDEX(Plan!$B$13:$B$23,MATCH(B44,Plan!$C$13:$C$23,1))</f>
        <v>Senior Account Director</v>
      </c>
      <c r="D44" s="24">
        <f>IF(A44&lt;=100,Plan!$C$5+(Plan!$C$6-Plan!$C$5)*(A44-1)/99,IF(A44&lt;=200,Plan!$C$6+(Plan!$C$7-Plan!$C$6)*(A44-100)/100,Plan!$C$7))</f>
        <v>0.1036363636</v>
      </c>
      <c r="E44" s="25">
        <f>D44*Plan!$C$8</f>
        <v>1036.363636</v>
      </c>
      <c r="F44" s="44">
        <f t="shared" si="3"/>
        <v>236.3636364</v>
      </c>
      <c r="G44" s="14">
        <f t="shared" si="4"/>
        <v>0</v>
      </c>
      <c r="H44" s="41">
        <f t="shared" si="1"/>
        <v>1272.727273</v>
      </c>
      <c r="I44" s="40">
        <f t="shared" si="2"/>
        <v>48454.54545</v>
      </c>
      <c r="K44" s="42">
        <f>SUMPRODUCT((B44&gt;=Plan!$C$13:$C$23)*Plan!$D$13:$D$23)</f>
        <v>7000</v>
      </c>
    </row>
    <row r="45" ht="15.75" customHeight="1">
      <c r="A45" s="43">
        <v>41.0</v>
      </c>
      <c r="B45" s="14">
        <f>41*Plan!$C$8</f>
        <v>410000</v>
      </c>
      <c r="C45" s="43" t="str">
        <f t="array" ref="C45">INDEX(Plan!$B$13:$B$23,MATCH(B45,Plan!$C$13:$C$23,1))</f>
        <v>Senior Account Director</v>
      </c>
      <c r="D45" s="24">
        <f>IF(A45&lt;=100,Plan!$C$5+(Plan!$C$6-Plan!$C$5)*(A45-1)/99,IF(A45&lt;=200,Plan!$C$6+(Plan!$C$7-Plan!$C$6)*(A45-100)/100,Plan!$C$7))</f>
        <v>0.1042424242</v>
      </c>
      <c r="E45" s="25">
        <f>D45*Plan!$C$8</f>
        <v>1042.424242</v>
      </c>
      <c r="F45" s="44">
        <f t="shared" si="3"/>
        <v>242.4242424</v>
      </c>
      <c r="G45" s="14">
        <f t="shared" si="4"/>
        <v>0</v>
      </c>
      <c r="H45" s="41">
        <f t="shared" si="1"/>
        <v>1284.848485</v>
      </c>
      <c r="I45" s="40">
        <f t="shared" si="2"/>
        <v>49739.39394</v>
      </c>
      <c r="K45" s="42">
        <f>SUMPRODUCT((B45&gt;=Plan!$C$13:$C$23)*Plan!$D$13:$D$23)</f>
        <v>7000</v>
      </c>
    </row>
    <row r="46" ht="15.75" customHeight="1">
      <c r="A46" s="43">
        <v>42.0</v>
      </c>
      <c r="B46" s="14">
        <f>42*Plan!$C$8</f>
        <v>420000</v>
      </c>
      <c r="C46" s="43" t="str">
        <f t="array" ref="C46">INDEX(Plan!$B$13:$B$23,MATCH(B46,Plan!$C$13:$C$23,1))</f>
        <v>Senior Account Director</v>
      </c>
      <c r="D46" s="24">
        <f>IF(A46&lt;=100,Plan!$C$5+(Plan!$C$6-Plan!$C$5)*(A46-1)/99,IF(A46&lt;=200,Plan!$C$6+(Plan!$C$7-Plan!$C$6)*(A46-100)/100,Plan!$C$7))</f>
        <v>0.1048484848</v>
      </c>
      <c r="E46" s="25">
        <f>D46*Plan!$C$8</f>
        <v>1048.484848</v>
      </c>
      <c r="F46" s="44">
        <f t="shared" si="3"/>
        <v>248.4848485</v>
      </c>
      <c r="G46" s="14">
        <f t="shared" si="4"/>
        <v>0</v>
      </c>
      <c r="H46" s="41">
        <f t="shared" si="1"/>
        <v>1296.969697</v>
      </c>
      <c r="I46" s="40">
        <f t="shared" si="2"/>
        <v>51036.36364</v>
      </c>
      <c r="K46" s="42">
        <f>SUMPRODUCT((B46&gt;=Plan!$C$13:$C$23)*Plan!$D$13:$D$23)</f>
        <v>7000</v>
      </c>
    </row>
    <row r="47" ht="15.75" customHeight="1">
      <c r="A47" s="43">
        <v>43.0</v>
      </c>
      <c r="B47" s="14">
        <f>43*Plan!$C$8</f>
        <v>430000</v>
      </c>
      <c r="C47" s="43" t="str">
        <f t="array" ref="C47">INDEX(Plan!$B$13:$B$23,MATCH(B47,Plan!$C$13:$C$23,1))</f>
        <v>Senior Account Director</v>
      </c>
      <c r="D47" s="24">
        <f>IF(A47&lt;=100,Plan!$C$5+(Plan!$C$6-Plan!$C$5)*(A47-1)/99,IF(A47&lt;=200,Plan!$C$6+(Plan!$C$7-Plan!$C$6)*(A47-100)/100,Plan!$C$7))</f>
        <v>0.1054545455</v>
      </c>
      <c r="E47" s="25">
        <f>D47*Plan!$C$8</f>
        <v>1054.545455</v>
      </c>
      <c r="F47" s="44">
        <f t="shared" si="3"/>
        <v>254.5454545</v>
      </c>
      <c r="G47" s="14">
        <f t="shared" si="4"/>
        <v>0</v>
      </c>
      <c r="H47" s="41">
        <f t="shared" si="1"/>
        <v>1309.090909</v>
      </c>
      <c r="I47" s="40">
        <f t="shared" si="2"/>
        <v>52345.45455</v>
      </c>
      <c r="K47" s="42">
        <f>SUMPRODUCT((B47&gt;=Plan!$C$13:$C$23)*Plan!$D$13:$D$23)</f>
        <v>7000</v>
      </c>
    </row>
    <row r="48" ht="15.75" customHeight="1">
      <c r="A48" s="43">
        <v>44.0</v>
      </c>
      <c r="B48" s="14">
        <f>44*Plan!$C$8</f>
        <v>440000</v>
      </c>
      <c r="C48" s="43" t="str">
        <f t="array" ref="C48">INDEX(Plan!$B$13:$B$23,MATCH(B48,Plan!$C$13:$C$23,1))</f>
        <v>Senior Account Director</v>
      </c>
      <c r="D48" s="24">
        <f>IF(A48&lt;=100,Plan!$C$5+(Plan!$C$6-Plan!$C$5)*(A48-1)/99,IF(A48&lt;=200,Plan!$C$6+(Plan!$C$7-Plan!$C$6)*(A48-100)/100,Plan!$C$7))</f>
        <v>0.1060606061</v>
      </c>
      <c r="E48" s="25">
        <f>D48*Plan!$C$8</f>
        <v>1060.606061</v>
      </c>
      <c r="F48" s="44">
        <f t="shared" si="3"/>
        <v>260.6060606</v>
      </c>
      <c r="G48" s="14">
        <f t="shared" si="4"/>
        <v>0</v>
      </c>
      <c r="H48" s="41">
        <f t="shared" si="1"/>
        <v>1321.212121</v>
      </c>
      <c r="I48" s="40">
        <f t="shared" si="2"/>
        <v>53666.66667</v>
      </c>
      <c r="K48" s="42">
        <f>SUMPRODUCT((B48&gt;=Plan!$C$13:$C$23)*Plan!$D$13:$D$23)</f>
        <v>7000</v>
      </c>
    </row>
    <row r="49" ht="15.75" customHeight="1">
      <c r="A49" s="43">
        <v>45.0</v>
      </c>
      <c r="B49" s="14">
        <f>45*Plan!$C$8</f>
        <v>450000</v>
      </c>
      <c r="C49" s="43" t="str">
        <f t="array" ref="C49">INDEX(Plan!$B$13:$B$23,MATCH(B49,Plan!$C$13:$C$23,1))</f>
        <v>Senior Account Director</v>
      </c>
      <c r="D49" s="24">
        <f>IF(A49&lt;=100,Plan!$C$5+(Plan!$C$6-Plan!$C$5)*(A49-1)/99,IF(A49&lt;=200,Plan!$C$6+(Plan!$C$7-Plan!$C$6)*(A49-100)/100,Plan!$C$7))</f>
        <v>0.1066666667</v>
      </c>
      <c r="E49" s="25">
        <f>D49*Plan!$C$8</f>
        <v>1066.666667</v>
      </c>
      <c r="F49" s="44">
        <f t="shared" si="3"/>
        <v>266.6666667</v>
      </c>
      <c r="G49" s="14">
        <f t="shared" si="4"/>
        <v>0</v>
      </c>
      <c r="H49" s="41">
        <f t="shared" si="1"/>
        <v>1333.333333</v>
      </c>
      <c r="I49" s="40">
        <f t="shared" si="2"/>
        <v>55000</v>
      </c>
      <c r="K49" s="42">
        <f>SUMPRODUCT((B49&gt;=Plan!$C$13:$C$23)*Plan!$D$13:$D$23)</f>
        <v>7000</v>
      </c>
    </row>
    <row r="50" ht="15.75" customHeight="1">
      <c r="A50" s="43">
        <v>46.0</v>
      </c>
      <c r="B50" s="14">
        <f>46*Plan!$C$8</f>
        <v>460000</v>
      </c>
      <c r="C50" s="43" t="str">
        <f t="array" ref="C50">INDEX(Plan!$B$13:$B$23,MATCH(B50,Plan!$C$13:$C$23,1))</f>
        <v>Senior Account Director</v>
      </c>
      <c r="D50" s="24">
        <f>IF(A50&lt;=100,Plan!$C$5+(Plan!$C$6-Plan!$C$5)*(A50-1)/99,IF(A50&lt;=200,Plan!$C$6+(Plan!$C$7-Plan!$C$6)*(A50-100)/100,Plan!$C$7))</f>
        <v>0.1072727273</v>
      </c>
      <c r="E50" s="25">
        <f>D50*Plan!$C$8</f>
        <v>1072.727273</v>
      </c>
      <c r="F50" s="44">
        <f t="shared" si="3"/>
        <v>272.7272727</v>
      </c>
      <c r="G50" s="14">
        <f t="shared" si="4"/>
        <v>0</v>
      </c>
      <c r="H50" s="41">
        <f t="shared" si="1"/>
        <v>1345.454545</v>
      </c>
      <c r="I50" s="40">
        <f t="shared" si="2"/>
        <v>56345.45455</v>
      </c>
      <c r="K50" s="42">
        <f>SUMPRODUCT((B50&gt;=Plan!$C$13:$C$23)*Plan!$D$13:$D$23)</f>
        <v>7000</v>
      </c>
    </row>
    <row r="51" ht="15.75" customHeight="1">
      <c r="A51" s="43">
        <v>47.0</v>
      </c>
      <c r="B51" s="14">
        <f>47*Plan!$C$8</f>
        <v>470000</v>
      </c>
      <c r="C51" s="43" t="str">
        <f t="array" ref="C51">INDEX(Plan!$B$13:$B$23,MATCH(B51,Plan!$C$13:$C$23,1))</f>
        <v>Senior Account Director</v>
      </c>
      <c r="D51" s="24">
        <f>IF(A51&lt;=100,Plan!$C$5+(Plan!$C$6-Plan!$C$5)*(A51-1)/99,IF(A51&lt;=200,Plan!$C$6+(Plan!$C$7-Plan!$C$6)*(A51-100)/100,Plan!$C$7))</f>
        <v>0.1078787879</v>
      </c>
      <c r="E51" s="25">
        <f>D51*Plan!$C$8</f>
        <v>1078.787879</v>
      </c>
      <c r="F51" s="44">
        <f t="shared" si="3"/>
        <v>278.7878788</v>
      </c>
      <c r="G51" s="14">
        <f t="shared" si="4"/>
        <v>0</v>
      </c>
      <c r="H51" s="41">
        <f t="shared" si="1"/>
        <v>1357.575758</v>
      </c>
      <c r="I51" s="40">
        <f t="shared" si="2"/>
        <v>57703.0303</v>
      </c>
      <c r="K51" s="42">
        <f>SUMPRODUCT((B51&gt;=Plan!$C$13:$C$23)*Plan!$D$13:$D$23)</f>
        <v>7000</v>
      </c>
    </row>
    <row r="52" ht="15.75" customHeight="1">
      <c r="A52" s="43">
        <v>48.0</v>
      </c>
      <c r="B52" s="14">
        <f>48*Plan!$C$8</f>
        <v>480000</v>
      </c>
      <c r="C52" s="43" t="str">
        <f t="array" ref="C52">INDEX(Plan!$B$13:$B$23,MATCH(B52,Plan!$C$13:$C$23,1))</f>
        <v>Senior Account Director</v>
      </c>
      <c r="D52" s="24">
        <f>IF(A52&lt;=100,Plan!$C$5+(Plan!$C$6-Plan!$C$5)*(A52-1)/99,IF(A52&lt;=200,Plan!$C$6+(Plan!$C$7-Plan!$C$6)*(A52-100)/100,Plan!$C$7))</f>
        <v>0.1084848485</v>
      </c>
      <c r="E52" s="25">
        <f>D52*Plan!$C$8</f>
        <v>1084.848485</v>
      </c>
      <c r="F52" s="44">
        <f t="shared" si="3"/>
        <v>284.8484848</v>
      </c>
      <c r="G52" s="14">
        <f t="shared" si="4"/>
        <v>0</v>
      </c>
      <c r="H52" s="41">
        <f t="shared" si="1"/>
        <v>1369.69697</v>
      </c>
      <c r="I52" s="40">
        <f t="shared" si="2"/>
        <v>59072.72727</v>
      </c>
      <c r="K52" s="42">
        <f>SUMPRODUCT((B52&gt;=Plan!$C$13:$C$23)*Plan!$D$13:$D$23)</f>
        <v>7000</v>
      </c>
    </row>
    <row r="53" ht="15.75" customHeight="1">
      <c r="A53" s="43">
        <v>49.0</v>
      </c>
      <c r="B53" s="14">
        <f>49*Plan!$C$8</f>
        <v>490000</v>
      </c>
      <c r="C53" s="43" t="str">
        <f t="array" ref="C53">INDEX(Plan!$B$13:$B$23,MATCH(B53,Plan!$C$13:$C$23,1))</f>
        <v>Senior Account Director</v>
      </c>
      <c r="D53" s="24">
        <f>IF(A53&lt;=100,Plan!$C$5+(Plan!$C$6-Plan!$C$5)*(A53-1)/99,IF(A53&lt;=200,Plan!$C$6+(Plan!$C$7-Plan!$C$6)*(A53-100)/100,Plan!$C$7))</f>
        <v>0.1090909091</v>
      </c>
      <c r="E53" s="25">
        <f>D53*Plan!$C$8</f>
        <v>1090.909091</v>
      </c>
      <c r="F53" s="44">
        <f t="shared" si="3"/>
        <v>290.9090909</v>
      </c>
      <c r="G53" s="14">
        <f t="shared" si="4"/>
        <v>0</v>
      </c>
      <c r="H53" s="41">
        <f t="shared" si="1"/>
        <v>1381.818182</v>
      </c>
      <c r="I53" s="40">
        <f t="shared" si="2"/>
        <v>60454.54545</v>
      </c>
      <c r="K53" s="42">
        <f>SUMPRODUCT((B53&gt;=Plan!$C$13:$C$23)*Plan!$D$13:$D$23)</f>
        <v>7000</v>
      </c>
    </row>
    <row r="54" ht="15.75" customHeight="1">
      <c r="A54" s="43">
        <v>50.0</v>
      </c>
      <c r="B54" s="14">
        <f>50*Plan!$C$8</f>
        <v>500000</v>
      </c>
      <c r="C54" s="43" t="str">
        <f t="array" ref="C54">INDEX(Plan!$B$13:$B$23,MATCH(B54,Plan!$C$13:$C$23,1))</f>
        <v>Sales Director</v>
      </c>
      <c r="D54" s="24">
        <f>IF(A54&lt;=100,Plan!$C$5+(Plan!$C$6-Plan!$C$5)*(A54-1)/99,IF(A54&lt;=200,Plan!$C$6+(Plan!$C$7-Plan!$C$6)*(A54-100)/100,Plan!$C$7))</f>
        <v>0.1096969697</v>
      </c>
      <c r="E54" s="25">
        <f>D54*Plan!$C$8</f>
        <v>1096.969697</v>
      </c>
      <c r="F54" s="44">
        <f t="shared" si="3"/>
        <v>296.969697</v>
      </c>
      <c r="G54" s="14">
        <f t="shared" si="4"/>
        <v>3000</v>
      </c>
      <c r="H54" s="41">
        <f t="shared" si="1"/>
        <v>4393.939394</v>
      </c>
      <c r="I54" s="40">
        <f t="shared" si="2"/>
        <v>64848.48485</v>
      </c>
      <c r="K54" s="42">
        <f>SUMPRODUCT((B54&gt;=Plan!$C$13:$C$23)*Plan!$D$13:$D$23)</f>
        <v>10000</v>
      </c>
    </row>
    <row r="55" ht="15.75" customHeight="1">
      <c r="A55" s="43">
        <v>51.0</v>
      </c>
      <c r="B55" s="14">
        <f>51*Plan!$C$8</f>
        <v>510000</v>
      </c>
      <c r="C55" s="43" t="str">
        <f t="array" ref="C55">INDEX(Plan!$B$13:$B$23,MATCH(B55,Plan!$C$13:$C$23,1))</f>
        <v>Sales Director</v>
      </c>
      <c r="D55" s="24">
        <f>IF(A55&lt;=100,Plan!$C$5+(Plan!$C$6-Plan!$C$5)*(A55-1)/99,IF(A55&lt;=200,Plan!$C$6+(Plan!$C$7-Plan!$C$6)*(A55-100)/100,Plan!$C$7))</f>
        <v>0.1103030303</v>
      </c>
      <c r="E55" s="25">
        <f>D55*Plan!$C$8</f>
        <v>1103.030303</v>
      </c>
      <c r="F55" s="44">
        <f t="shared" si="3"/>
        <v>303.030303</v>
      </c>
      <c r="G55" s="14">
        <f t="shared" si="4"/>
        <v>0</v>
      </c>
      <c r="H55" s="41">
        <f t="shared" si="1"/>
        <v>1406.060606</v>
      </c>
      <c r="I55" s="40">
        <f t="shared" si="2"/>
        <v>66254.54545</v>
      </c>
      <c r="K55" s="42">
        <f>SUMPRODUCT((B55&gt;=Plan!$C$13:$C$23)*Plan!$D$13:$D$23)</f>
        <v>10000</v>
      </c>
    </row>
    <row r="56" ht="15.75" customHeight="1">
      <c r="A56" s="43">
        <v>52.0</v>
      </c>
      <c r="B56" s="14">
        <f>52*Plan!$C$8</f>
        <v>520000</v>
      </c>
      <c r="C56" s="43" t="str">
        <f t="array" ref="C56">INDEX(Plan!$B$13:$B$23,MATCH(B56,Plan!$C$13:$C$23,1))</f>
        <v>Sales Director</v>
      </c>
      <c r="D56" s="24">
        <f>IF(A56&lt;=100,Plan!$C$5+(Plan!$C$6-Plan!$C$5)*(A56-1)/99,IF(A56&lt;=200,Plan!$C$6+(Plan!$C$7-Plan!$C$6)*(A56-100)/100,Plan!$C$7))</f>
        <v>0.1109090909</v>
      </c>
      <c r="E56" s="25">
        <f>D56*Plan!$C$8</f>
        <v>1109.090909</v>
      </c>
      <c r="F56" s="44">
        <f t="shared" si="3"/>
        <v>309.0909091</v>
      </c>
      <c r="G56" s="14">
        <f t="shared" si="4"/>
        <v>0</v>
      </c>
      <c r="H56" s="41">
        <f t="shared" si="1"/>
        <v>1418.181818</v>
      </c>
      <c r="I56" s="40">
        <f t="shared" si="2"/>
        <v>67672.72727</v>
      </c>
      <c r="K56" s="42">
        <f>SUMPRODUCT((B56&gt;=Plan!$C$13:$C$23)*Plan!$D$13:$D$23)</f>
        <v>10000</v>
      </c>
    </row>
    <row r="57" ht="15.75" customHeight="1">
      <c r="A57" s="43">
        <v>53.0</v>
      </c>
      <c r="B57" s="14">
        <f>53*Plan!$C$8</f>
        <v>530000</v>
      </c>
      <c r="C57" s="43" t="str">
        <f t="array" ref="C57">INDEX(Plan!$B$13:$B$23,MATCH(B57,Plan!$C$13:$C$23,1))</f>
        <v>Sales Director</v>
      </c>
      <c r="D57" s="24">
        <f>IF(A57&lt;=100,Plan!$C$5+(Plan!$C$6-Plan!$C$5)*(A57-1)/99,IF(A57&lt;=200,Plan!$C$6+(Plan!$C$7-Plan!$C$6)*(A57-100)/100,Plan!$C$7))</f>
        <v>0.1115151515</v>
      </c>
      <c r="E57" s="25">
        <f>D57*Plan!$C$8</f>
        <v>1115.151515</v>
      </c>
      <c r="F57" s="44">
        <f t="shared" si="3"/>
        <v>315.1515152</v>
      </c>
      <c r="G57" s="14">
        <f t="shared" si="4"/>
        <v>0</v>
      </c>
      <c r="H57" s="41">
        <f t="shared" si="1"/>
        <v>1430.30303</v>
      </c>
      <c r="I57" s="40">
        <f t="shared" si="2"/>
        <v>69103.0303</v>
      </c>
      <c r="K57" s="42">
        <f>SUMPRODUCT((B57&gt;=Plan!$C$13:$C$23)*Plan!$D$13:$D$23)</f>
        <v>10000</v>
      </c>
    </row>
    <row r="58" ht="15.75" customHeight="1">
      <c r="A58" s="43">
        <v>54.0</v>
      </c>
      <c r="B58" s="14">
        <f>54*Plan!$C$8</f>
        <v>540000</v>
      </c>
      <c r="C58" s="43" t="str">
        <f t="array" ref="C58">INDEX(Plan!$B$13:$B$23,MATCH(B58,Plan!$C$13:$C$23,1))</f>
        <v>Sales Director</v>
      </c>
      <c r="D58" s="24">
        <f>IF(A58&lt;=100,Plan!$C$5+(Plan!$C$6-Plan!$C$5)*(A58-1)/99,IF(A58&lt;=200,Plan!$C$6+(Plan!$C$7-Plan!$C$6)*(A58-100)/100,Plan!$C$7))</f>
        <v>0.1121212121</v>
      </c>
      <c r="E58" s="25">
        <f>D58*Plan!$C$8</f>
        <v>1121.212121</v>
      </c>
      <c r="F58" s="44">
        <f t="shared" si="3"/>
        <v>321.2121212</v>
      </c>
      <c r="G58" s="14">
        <f t="shared" si="4"/>
        <v>0</v>
      </c>
      <c r="H58" s="41">
        <f t="shared" si="1"/>
        <v>1442.424242</v>
      </c>
      <c r="I58" s="40">
        <f t="shared" si="2"/>
        <v>70545.45455</v>
      </c>
      <c r="K58" s="42">
        <f>SUMPRODUCT((B58&gt;=Plan!$C$13:$C$23)*Plan!$D$13:$D$23)</f>
        <v>10000</v>
      </c>
    </row>
    <row r="59" ht="15.75" customHeight="1">
      <c r="A59" s="43">
        <v>55.0</v>
      </c>
      <c r="B59" s="14">
        <f>55*Plan!$C$8</f>
        <v>550000</v>
      </c>
      <c r="C59" s="43" t="str">
        <f t="array" ref="C59">INDEX(Plan!$B$13:$B$23,MATCH(B59,Plan!$C$13:$C$23,1))</f>
        <v>Sales Director</v>
      </c>
      <c r="D59" s="24">
        <f>IF(A59&lt;=100,Plan!$C$5+(Plan!$C$6-Plan!$C$5)*(A59-1)/99,IF(A59&lt;=200,Plan!$C$6+(Plan!$C$7-Plan!$C$6)*(A59-100)/100,Plan!$C$7))</f>
        <v>0.1127272727</v>
      </c>
      <c r="E59" s="25">
        <f>D59*Plan!$C$8</f>
        <v>1127.272727</v>
      </c>
      <c r="F59" s="44">
        <f t="shared" si="3"/>
        <v>327.2727273</v>
      </c>
      <c r="G59" s="14">
        <f t="shared" si="4"/>
        <v>0</v>
      </c>
      <c r="H59" s="41">
        <f t="shared" si="1"/>
        <v>1454.545455</v>
      </c>
      <c r="I59" s="40">
        <f t="shared" si="2"/>
        <v>72000</v>
      </c>
      <c r="K59" s="42">
        <f>SUMPRODUCT((B59&gt;=Plan!$C$13:$C$23)*Plan!$D$13:$D$23)</f>
        <v>10000</v>
      </c>
    </row>
    <row r="60" ht="15.75" customHeight="1">
      <c r="A60" s="43">
        <v>56.0</v>
      </c>
      <c r="B60" s="14">
        <f>56*Plan!$C$8</f>
        <v>560000</v>
      </c>
      <c r="C60" s="43" t="str">
        <f t="array" ref="C60">INDEX(Plan!$B$13:$B$23,MATCH(B60,Plan!$C$13:$C$23,1))</f>
        <v>Sales Director</v>
      </c>
      <c r="D60" s="24">
        <f>IF(A60&lt;=100,Plan!$C$5+(Plan!$C$6-Plan!$C$5)*(A60-1)/99,IF(A60&lt;=200,Plan!$C$6+(Plan!$C$7-Plan!$C$6)*(A60-100)/100,Plan!$C$7))</f>
        <v>0.1133333333</v>
      </c>
      <c r="E60" s="25">
        <f>D60*Plan!$C$8</f>
        <v>1133.333333</v>
      </c>
      <c r="F60" s="44">
        <f t="shared" si="3"/>
        <v>333.3333333</v>
      </c>
      <c r="G60" s="14">
        <f t="shared" si="4"/>
        <v>0</v>
      </c>
      <c r="H60" s="41">
        <f t="shared" si="1"/>
        <v>1466.666667</v>
      </c>
      <c r="I60" s="40">
        <f t="shared" si="2"/>
        <v>73466.66667</v>
      </c>
      <c r="K60" s="42">
        <f>SUMPRODUCT((B60&gt;=Plan!$C$13:$C$23)*Plan!$D$13:$D$23)</f>
        <v>10000</v>
      </c>
    </row>
    <row r="61" ht="15.75" customHeight="1">
      <c r="A61" s="43">
        <v>57.0</v>
      </c>
      <c r="B61" s="14">
        <f>57*Plan!$C$8</f>
        <v>570000</v>
      </c>
      <c r="C61" s="43" t="str">
        <f t="array" ref="C61">INDEX(Plan!$B$13:$B$23,MATCH(B61,Plan!$C$13:$C$23,1))</f>
        <v>Sales Director</v>
      </c>
      <c r="D61" s="24">
        <f>IF(A61&lt;=100,Plan!$C$5+(Plan!$C$6-Plan!$C$5)*(A61-1)/99,IF(A61&lt;=200,Plan!$C$6+(Plan!$C$7-Plan!$C$6)*(A61-100)/100,Plan!$C$7))</f>
        <v>0.1139393939</v>
      </c>
      <c r="E61" s="25">
        <f>D61*Plan!$C$8</f>
        <v>1139.393939</v>
      </c>
      <c r="F61" s="44">
        <f t="shared" si="3"/>
        <v>339.3939394</v>
      </c>
      <c r="G61" s="14">
        <f t="shared" si="4"/>
        <v>0</v>
      </c>
      <c r="H61" s="41">
        <f t="shared" si="1"/>
        <v>1478.787879</v>
      </c>
      <c r="I61" s="40">
        <f t="shared" si="2"/>
        <v>74945.45455</v>
      </c>
      <c r="K61" s="42">
        <f>SUMPRODUCT((B61&gt;=Plan!$C$13:$C$23)*Plan!$D$13:$D$23)</f>
        <v>10000</v>
      </c>
    </row>
    <row r="62" ht="15.75" customHeight="1">
      <c r="A62" s="43">
        <v>58.0</v>
      </c>
      <c r="B62" s="14">
        <f>58*Plan!$C$8</f>
        <v>580000</v>
      </c>
      <c r="C62" s="43" t="str">
        <f t="array" ref="C62">INDEX(Plan!$B$13:$B$23,MATCH(B62,Plan!$C$13:$C$23,1))</f>
        <v>Sales Director</v>
      </c>
      <c r="D62" s="24">
        <f>IF(A62&lt;=100,Plan!$C$5+(Plan!$C$6-Plan!$C$5)*(A62-1)/99,IF(A62&lt;=200,Plan!$C$6+(Plan!$C$7-Plan!$C$6)*(A62-100)/100,Plan!$C$7))</f>
        <v>0.1145454545</v>
      </c>
      <c r="E62" s="25">
        <f>D62*Plan!$C$8</f>
        <v>1145.454545</v>
      </c>
      <c r="F62" s="44">
        <f t="shared" si="3"/>
        <v>345.4545455</v>
      </c>
      <c r="G62" s="14">
        <f t="shared" si="4"/>
        <v>0</v>
      </c>
      <c r="H62" s="41">
        <f t="shared" si="1"/>
        <v>1490.909091</v>
      </c>
      <c r="I62" s="40">
        <f t="shared" si="2"/>
        <v>76436.36364</v>
      </c>
      <c r="K62" s="42">
        <f>SUMPRODUCT((B62&gt;=Plan!$C$13:$C$23)*Plan!$D$13:$D$23)</f>
        <v>10000</v>
      </c>
    </row>
    <row r="63" ht="15.75" customHeight="1">
      <c r="A63" s="43">
        <v>59.0</v>
      </c>
      <c r="B63" s="14">
        <f>59*Plan!$C$8</f>
        <v>590000</v>
      </c>
      <c r="C63" s="43" t="str">
        <f t="array" ref="C63">INDEX(Plan!$B$13:$B$23,MATCH(B63,Plan!$C$13:$C$23,1))</f>
        <v>Sales Director</v>
      </c>
      <c r="D63" s="24">
        <f>IF(A63&lt;=100,Plan!$C$5+(Plan!$C$6-Plan!$C$5)*(A63-1)/99,IF(A63&lt;=200,Plan!$C$6+(Plan!$C$7-Plan!$C$6)*(A63-100)/100,Plan!$C$7))</f>
        <v>0.1151515152</v>
      </c>
      <c r="E63" s="25">
        <f>D63*Plan!$C$8</f>
        <v>1151.515152</v>
      </c>
      <c r="F63" s="44">
        <f t="shared" si="3"/>
        <v>351.5151515</v>
      </c>
      <c r="G63" s="14">
        <f t="shared" si="4"/>
        <v>0</v>
      </c>
      <c r="H63" s="41">
        <f t="shared" si="1"/>
        <v>1503.030303</v>
      </c>
      <c r="I63" s="40">
        <f t="shared" si="2"/>
        <v>77939.39394</v>
      </c>
      <c r="K63" s="42">
        <f>SUMPRODUCT((B63&gt;=Plan!$C$13:$C$23)*Plan!$D$13:$D$23)</f>
        <v>10000</v>
      </c>
    </row>
    <row r="64" ht="15.75" customHeight="1">
      <c r="A64" s="43">
        <v>60.0</v>
      </c>
      <c r="B64" s="14">
        <f>60*Plan!$C$8</f>
        <v>600000</v>
      </c>
      <c r="C64" s="43" t="str">
        <f t="array" ref="C64">INDEX(Plan!$B$13:$B$23,MATCH(B64,Plan!$C$13:$C$23,1))</f>
        <v>Sales Director</v>
      </c>
      <c r="D64" s="24">
        <f>IF(A64&lt;=100,Plan!$C$5+(Plan!$C$6-Plan!$C$5)*(A64-1)/99,IF(A64&lt;=200,Plan!$C$6+(Plan!$C$7-Plan!$C$6)*(A64-100)/100,Plan!$C$7))</f>
        <v>0.1157575758</v>
      </c>
      <c r="E64" s="25">
        <f>D64*Plan!$C$8</f>
        <v>1157.575758</v>
      </c>
      <c r="F64" s="44">
        <f t="shared" si="3"/>
        <v>357.5757576</v>
      </c>
      <c r="G64" s="14">
        <f t="shared" si="4"/>
        <v>0</v>
      </c>
      <c r="H64" s="41">
        <f t="shared" si="1"/>
        <v>1515.151515</v>
      </c>
      <c r="I64" s="40">
        <f t="shared" si="2"/>
        <v>79454.54545</v>
      </c>
      <c r="K64" s="42">
        <f>SUMPRODUCT((B64&gt;=Plan!$C$13:$C$23)*Plan!$D$13:$D$23)</f>
        <v>10000</v>
      </c>
    </row>
    <row r="65" ht="15.75" customHeight="1">
      <c r="A65" s="43">
        <v>61.0</v>
      </c>
      <c r="B65" s="14">
        <f>61*Plan!$C$8</f>
        <v>610000</v>
      </c>
      <c r="C65" s="43" t="str">
        <f t="array" ref="C65">INDEX(Plan!$B$13:$B$23,MATCH(B65,Plan!$C$13:$C$23,1))</f>
        <v>Sales Director</v>
      </c>
      <c r="D65" s="24">
        <f>IF(A65&lt;=100,Plan!$C$5+(Plan!$C$6-Plan!$C$5)*(A65-1)/99,IF(A65&lt;=200,Plan!$C$6+(Plan!$C$7-Plan!$C$6)*(A65-100)/100,Plan!$C$7))</f>
        <v>0.1163636364</v>
      </c>
      <c r="E65" s="25">
        <f>D65*Plan!$C$8</f>
        <v>1163.636364</v>
      </c>
      <c r="F65" s="44">
        <f t="shared" si="3"/>
        <v>363.6363636</v>
      </c>
      <c r="G65" s="14">
        <f t="shared" si="4"/>
        <v>0</v>
      </c>
      <c r="H65" s="41">
        <f t="shared" si="1"/>
        <v>1527.272727</v>
      </c>
      <c r="I65" s="40">
        <f t="shared" si="2"/>
        <v>80981.81818</v>
      </c>
      <c r="K65" s="42">
        <f>SUMPRODUCT((B65&gt;=Plan!$C$13:$C$23)*Plan!$D$13:$D$23)</f>
        <v>10000</v>
      </c>
    </row>
    <row r="66" ht="15.75" customHeight="1">
      <c r="A66" s="43">
        <v>62.0</v>
      </c>
      <c r="B66" s="14">
        <f>62*Plan!$C$8</f>
        <v>620000</v>
      </c>
      <c r="C66" s="43" t="str">
        <f t="array" ref="C66">INDEX(Plan!$B$13:$B$23,MATCH(B66,Plan!$C$13:$C$23,1))</f>
        <v>Sales Director</v>
      </c>
      <c r="D66" s="24">
        <f>IF(A66&lt;=100,Plan!$C$5+(Plan!$C$6-Plan!$C$5)*(A66-1)/99,IF(A66&lt;=200,Plan!$C$6+(Plan!$C$7-Plan!$C$6)*(A66-100)/100,Plan!$C$7))</f>
        <v>0.116969697</v>
      </c>
      <c r="E66" s="25">
        <f>D66*Plan!$C$8</f>
        <v>1169.69697</v>
      </c>
      <c r="F66" s="44">
        <f t="shared" si="3"/>
        <v>369.6969697</v>
      </c>
      <c r="G66" s="14">
        <f t="shared" si="4"/>
        <v>0</v>
      </c>
      <c r="H66" s="41">
        <f t="shared" si="1"/>
        <v>1539.393939</v>
      </c>
      <c r="I66" s="40">
        <f t="shared" si="2"/>
        <v>82521.21212</v>
      </c>
      <c r="K66" s="42">
        <f>SUMPRODUCT((B66&gt;=Plan!$C$13:$C$23)*Plan!$D$13:$D$23)</f>
        <v>10000</v>
      </c>
    </row>
    <row r="67" ht="15.75" customHeight="1">
      <c r="A67" s="43">
        <v>63.0</v>
      </c>
      <c r="B67" s="14">
        <f>63*Plan!$C$8</f>
        <v>630000</v>
      </c>
      <c r="C67" s="43" t="str">
        <f t="array" ref="C67">INDEX(Plan!$B$13:$B$23,MATCH(B67,Plan!$C$13:$C$23,1))</f>
        <v>Sales Director</v>
      </c>
      <c r="D67" s="24">
        <f>IF(A67&lt;=100,Plan!$C$5+(Plan!$C$6-Plan!$C$5)*(A67-1)/99,IF(A67&lt;=200,Plan!$C$6+(Plan!$C$7-Plan!$C$6)*(A67-100)/100,Plan!$C$7))</f>
        <v>0.1175757576</v>
      </c>
      <c r="E67" s="25">
        <f>D67*Plan!$C$8</f>
        <v>1175.757576</v>
      </c>
      <c r="F67" s="44">
        <f t="shared" si="3"/>
        <v>375.7575758</v>
      </c>
      <c r="G67" s="14">
        <f t="shared" si="4"/>
        <v>0</v>
      </c>
      <c r="H67" s="41">
        <f t="shared" si="1"/>
        <v>1551.515152</v>
      </c>
      <c r="I67" s="40">
        <f t="shared" si="2"/>
        <v>84072.72727</v>
      </c>
      <c r="K67" s="42">
        <f>SUMPRODUCT((B67&gt;=Plan!$C$13:$C$23)*Plan!$D$13:$D$23)</f>
        <v>10000</v>
      </c>
    </row>
    <row r="68" ht="15.75" customHeight="1">
      <c r="A68" s="43">
        <v>64.0</v>
      </c>
      <c r="B68" s="14">
        <f>64*Plan!$C$8</f>
        <v>640000</v>
      </c>
      <c r="C68" s="43" t="str">
        <f t="array" ref="C68">INDEX(Plan!$B$13:$B$23,MATCH(B68,Plan!$C$13:$C$23,1))</f>
        <v>Sales Director</v>
      </c>
      <c r="D68" s="24">
        <f>IF(A68&lt;=100,Plan!$C$5+(Plan!$C$6-Plan!$C$5)*(A68-1)/99,IF(A68&lt;=200,Plan!$C$6+(Plan!$C$7-Plan!$C$6)*(A68-100)/100,Plan!$C$7))</f>
        <v>0.1181818182</v>
      </c>
      <c r="E68" s="25">
        <f>D68*Plan!$C$8</f>
        <v>1181.818182</v>
      </c>
      <c r="F68" s="44">
        <f t="shared" si="3"/>
        <v>381.8181818</v>
      </c>
      <c r="G68" s="14">
        <f t="shared" si="4"/>
        <v>0</v>
      </c>
      <c r="H68" s="41">
        <f t="shared" si="1"/>
        <v>1563.636364</v>
      </c>
      <c r="I68" s="40">
        <f t="shared" si="2"/>
        <v>85636.36364</v>
      </c>
      <c r="K68" s="42">
        <f>SUMPRODUCT((B68&gt;=Plan!$C$13:$C$23)*Plan!$D$13:$D$23)</f>
        <v>10000</v>
      </c>
    </row>
    <row r="69" ht="15.75" customHeight="1">
      <c r="A69" s="43">
        <v>65.0</v>
      </c>
      <c r="B69" s="14">
        <f>65*Plan!$C$8</f>
        <v>650000</v>
      </c>
      <c r="C69" s="43" t="str">
        <f t="array" ref="C69">INDEX(Plan!$B$13:$B$23,MATCH(B69,Plan!$C$13:$C$23,1))</f>
        <v>Sales Director</v>
      </c>
      <c r="D69" s="24">
        <f>IF(A69&lt;=100,Plan!$C$5+(Plan!$C$6-Plan!$C$5)*(A69-1)/99,IF(A69&lt;=200,Plan!$C$6+(Plan!$C$7-Plan!$C$6)*(A69-100)/100,Plan!$C$7))</f>
        <v>0.1187878788</v>
      </c>
      <c r="E69" s="25">
        <f>D69*Plan!$C$8</f>
        <v>1187.878788</v>
      </c>
      <c r="F69" s="44">
        <f t="shared" si="3"/>
        <v>387.8787879</v>
      </c>
      <c r="G69" s="14">
        <f t="shared" si="4"/>
        <v>0</v>
      </c>
      <c r="H69" s="41">
        <f t="shared" si="1"/>
        <v>1575.757576</v>
      </c>
      <c r="I69" s="40">
        <f t="shared" si="2"/>
        <v>87212.12121</v>
      </c>
      <c r="K69" s="42">
        <f>SUMPRODUCT((B69&gt;=Plan!$C$13:$C$23)*Plan!$D$13:$D$23)</f>
        <v>10000</v>
      </c>
    </row>
    <row r="70" ht="15.75" customHeight="1">
      <c r="A70" s="43">
        <v>66.0</v>
      </c>
      <c r="B70" s="14">
        <f>66*Plan!$C$8</f>
        <v>660000</v>
      </c>
      <c r="C70" s="43" t="str">
        <f t="array" ref="C70">INDEX(Plan!$B$13:$B$23,MATCH(B70,Plan!$C$13:$C$23,1))</f>
        <v>Sales Director</v>
      </c>
      <c r="D70" s="24">
        <f>IF(A70&lt;=100,Plan!$C$5+(Plan!$C$6-Plan!$C$5)*(A70-1)/99,IF(A70&lt;=200,Plan!$C$6+(Plan!$C$7-Plan!$C$6)*(A70-100)/100,Plan!$C$7))</f>
        <v>0.1193939394</v>
      </c>
      <c r="E70" s="25">
        <f>D70*Plan!$C$8</f>
        <v>1193.939394</v>
      </c>
      <c r="F70" s="44">
        <f t="shared" si="3"/>
        <v>393.9393939</v>
      </c>
      <c r="G70" s="14">
        <f t="shared" si="4"/>
        <v>0</v>
      </c>
      <c r="H70" s="41">
        <f t="shared" si="1"/>
        <v>1587.878788</v>
      </c>
      <c r="I70" s="40">
        <f t="shared" si="2"/>
        <v>88800</v>
      </c>
      <c r="K70" s="42">
        <f>SUMPRODUCT((B70&gt;=Plan!$C$13:$C$23)*Plan!$D$13:$D$23)</f>
        <v>10000</v>
      </c>
    </row>
    <row r="71" ht="15.75" customHeight="1">
      <c r="A71" s="43">
        <v>67.0</v>
      </c>
      <c r="B71" s="14">
        <f>67*Plan!$C$8</f>
        <v>670000</v>
      </c>
      <c r="C71" s="43" t="str">
        <f t="array" ref="C71">INDEX(Plan!$B$13:$B$23,MATCH(B71,Plan!$C$13:$C$23,1))</f>
        <v>Sales Director</v>
      </c>
      <c r="D71" s="24">
        <f>IF(A71&lt;=100,Plan!$C$5+(Plan!$C$6-Plan!$C$5)*(A71-1)/99,IF(A71&lt;=200,Plan!$C$6+(Plan!$C$7-Plan!$C$6)*(A71-100)/100,Plan!$C$7))</f>
        <v>0.12</v>
      </c>
      <c r="E71" s="25">
        <f>D71*Plan!$C$8</f>
        <v>1200</v>
      </c>
      <c r="F71" s="44">
        <f t="shared" si="3"/>
        <v>400</v>
      </c>
      <c r="G71" s="14">
        <f t="shared" si="4"/>
        <v>0</v>
      </c>
      <c r="H71" s="41">
        <f t="shared" si="1"/>
        <v>1600</v>
      </c>
      <c r="I71" s="40">
        <f t="shared" si="2"/>
        <v>90400</v>
      </c>
      <c r="K71" s="42">
        <f>SUMPRODUCT((B71&gt;=Plan!$C$13:$C$23)*Plan!$D$13:$D$23)</f>
        <v>10000</v>
      </c>
    </row>
    <row r="72" ht="15.75" customHeight="1">
      <c r="A72" s="43">
        <v>68.0</v>
      </c>
      <c r="B72" s="14">
        <f>68*Plan!$C$8</f>
        <v>680000</v>
      </c>
      <c r="C72" s="43" t="str">
        <f t="array" ref="C72">INDEX(Plan!$B$13:$B$23,MATCH(B72,Plan!$C$13:$C$23,1))</f>
        <v>Sales Director</v>
      </c>
      <c r="D72" s="24">
        <f>IF(A72&lt;=100,Plan!$C$5+(Plan!$C$6-Plan!$C$5)*(A72-1)/99,IF(A72&lt;=200,Plan!$C$6+(Plan!$C$7-Plan!$C$6)*(A72-100)/100,Plan!$C$7))</f>
        <v>0.1206060606</v>
      </c>
      <c r="E72" s="25">
        <f>D72*Plan!$C$8</f>
        <v>1206.060606</v>
      </c>
      <c r="F72" s="44">
        <f t="shared" si="3"/>
        <v>406.0606061</v>
      </c>
      <c r="G72" s="14">
        <f t="shared" si="4"/>
        <v>0</v>
      </c>
      <c r="H72" s="41">
        <f t="shared" si="1"/>
        <v>1612.121212</v>
      </c>
      <c r="I72" s="40">
        <f t="shared" si="2"/>
        <v>92012.12121</v>
      </c>
      <c r="K72" s="42">
        <f>SUMPRODUCT((B72&gt;=Plan!$C$13:$C$23)*Plan!$D$13:$D$23)</f>
        <v>10000</v>
      </c>
    </row>
    <row r="73" ht="15.75" customHeight="1">
      <c r="A73" s="43">
        <v>69.0</v>
      </c>
      <c r="B73" s="14">
        <f>69*Plan!$C$8</f>
        <v>690000</v>
      </c>
      <c r="C73" s="43" t="str">
        <f t="array" ref="C73">INDEX(Plan!$B$13:$B$23,MATCH(B73,Plan!$C$13:$C$23,1))</f>
        <v>Sales Director</v>
      </c>
      <c r="D73" s="24">
        <f>IF(A73&lt;=100,Plan!$C$5+(Plan!$C$6-Plan!$C$5)*(A73-1)/99,IF(A73&lt;=200,Plan!$C$6+(Plan!$C$7-Plan!$C$6)*(A73-100)/100,Plan!$C$7))</f>
        <v>0.1212121212</v>
      </c>
      <c r="E73" s="25">
        <f>D73*Plan!$C$8</f>
        <v>1212.121212</v>
      </c>
      <c r="F73" s="44">
        <f t="shared" si="3"/>
        <v>412.1212121</v>
      </c>
      <c r="G73" s="14">
        <f t="shared" si="4"/>
        <v>0</v>
      </c>
      <c r="H73" s="41">
        <f t="shared" si="1"/>
        <v>1624.242424</v>
      </c>
      <c r="I73" s="40">
        <f t="shared" si="2"/>
        <v>93636.36364</v>
      </c>
      <c r="K73" s="42">
        <f>SUMPRODUCT((B73&gt;=Plan!$C$13:$C$23)*Plan!$D$13:$D$23)</f>
        <v>10000</v>
      </c>
    </row>
    <row r="74" ht="15.75" customHeight="1">
      <c r="A74" s="43">
        <v>70.0</v>
      </c>
      <c r="B74" s="14">
        <f>70*Plan!$C$8</f>
        <v>700000</v>
      </c>
      <c r="C74" s="43" t="str">
        <f t="array" ref="C74">INDEX(Plan!$B$13:$B$23,MATCH(B74,Plan!$C$13:$C$23,1))</f>
        <v>Senior Sales Director</v>
      </c>
      <c r="D74" s="24">
        <f>IF(A74&lt;=100,Plan!$C$5+(Plan!$C$6-Plan!$C$5)*(A74-1)/99,IF(A74&lt;=200,Plan!$C$6+(Plan!$C$7-Plan!$C$6)*(A74-100)/100,Plan!$C$7))</f>
        <v>0.1218181818</v>
      </c>
      <c r="E74" s="25">
        <f>D74*Plan!$C$8</f>
        <v>1218.181818</v>
      </c>
      <c r="F74" s="44">
        <f t="shared" si="3"/>
        <v>418.1818182</v>
      </c>
      <c r="G74" s="14">
        <f t="shared" si="4"/>
        <v>4000</v>
      </c>
      <c r="H74" s="41">
        <f t="shared" si="1"/>
        <v>5636.363636</v>
      </c>
      <c r="I74" s="40">
        <f t="shared" si="2"/>
        <v>99272.72727</v>
      </c>
      <c r="K74" s="42">
        <f>SUMPRODUCT((B74&gt;=Plan!$C$13:$C$23)*Plan!$D$13:$D$23)</f>
        <v>14000</v>
      </c>
    </row>
    <row r="75" ht="15.75" customHeight="1">
      <c r="A75" s="43">
        <v>71.0</v>
      </c>
      <c r="B75" s="14">
        <f>71*Plan!$C$8</f>
        <v>710000</v>
      </c>
      <c r="C75" s="43" t="str">
        <f t="array" ref="C75">INDEX(Plan!$B$13:$B$23,MATCH(B75,Plan!$C$13:$C$23,1))</f>
        <v>Senior Sales Director</v>
      </c>
      <c r="D75" s="24">
        <f>IF(A75&lt;=100,Plan!$C$5+(Plan!$C$6-Plan!$C$5)*(A75-1)/99,IF(A75&lt;=200,Plan!$C$6+(Plan!$C$7-Plan!$C$6)*(A75-100)/100,Plan!$C$7))</f>
        <v>0.1224242424</v>
      </c>
      <c r="E75" s="25">
        <f>D75*Plan!$C$8</f>
        <v>1224.242424</v>
      </c>
      <c r="F75" s="44">
        <f t="shared" si="3"/>
        <v>424.2424242</v>
      </c>
      <c r="G75" s="14">
        <f t="shared" si="4"/>
        <v>0</v>
      </c>
      <c r="H75" s="41">
        <f t="shared" si="1"/>
        <v>1648.484848</v>
      </c>
      <c r="I75" s="40">
        <f t="shared" si="2"/>
        <v>100921.2121</v>
      </c>
      <c r="K75" s="42">
        <f>SUMPRODUCT((B75&gt;=Plan!$C$13:$C$23)*Plan!$D$13:$D$23)</f>
        <v>14000</v>
      </c>
    </row>
    <row r="76" ht="15.75" customHeight="1">
      <c r="A76" s="43">
        <v>72.0</v>
      </c>
      <c r="B76" s="14">
        <f>72*Plan!$C$8</f>
        <v>720000</v>
      </c>
      <c r="C76" s="43" t="str">
        <f t="array" ref="C76">INDEX(Plan!$B$13:$B$23,MATCH(B76,Plan!$C$13:$C$23,1))</f>
        <v>Senior Sales Director</v>
      </c>
      <c r="D76" s="24">
        <f>IF(A76&lt;=100,Plan!$C$5+(Plan!$C$6-Plan!$C$5)*(A76-1)/99,IF(A76&lt;=200,Plan!$C$6+(Plan!$C$7-Plan!$C$6)*(A76-100)/100,Plan!$C$7))</f>
        <v>0.123030303</v>
      </c>
      <c r="E76" s="25">
        <f>D76*Plan!$C$8</f>
        <v>1230.30303</v>
      </c>
      <c r="F76" s="44">
        <f t="shared" si="3"/>
        <v>430.3030303</v>
      </c>
      <c r="G76" s="14">
        <f t="shared" si="4"/>
        <v>0</v>
      </c>
      <c r="H76" s="41">
        <f t="shared" si="1"/>
        <v>1660.606061</v>
      </c>
      <c r="I76" s="40">
        <f t="shared" si="2"/>
        <v>102581.8182</v>
      </c>
      <c r="K76" s="42">
        <f>SUMPRODUCT((B76&gt;=Plan!$C$13:$C$23)*Plan!$D$13:$D$23)</f>
        <v>14000</v>
      </c>
    </row>
    <row r="77" ht="15.75" customHeight="1">
      <c r="A77" s="43">
        <v>73.0</v>
      </c>
      <c r="B77" s="14">
        <f>73*Plan!$C$8</f>
        <v>730000</v>
      </c>
      <c r="C77" s="43" t="str">
        <f t="array" ref="C77">INDEX(Plan!$B$13:$B$23,MATCH(B77,Plan!$C$13:$C$23,1))</f>
        <v>Senior Sales Director</v>
      </c>
      <c r="D77" s="24">
        <f>IF(A77&lt;=100,Plan!$C$5+(Plan!$C$6-Plan!$C$5)*(A77-1)/99,IF(A77&lt;=200,Plan!$C$6+(Plan!$C$7-Plan!$C$6)*(A77-100)/100,Plan!$C$7))</f>
        <v>0.1236363636</v>
      </c>
      <c r="E77" s="25">
        <f>D77*Plan!$C$8</f>
        <v>1236.363636</v>
      </c>
      <c r="F77" s="44">
        <f t="shared" si="3"/>
        <v>436.3636364</v>
      </c>
      <c r="G77" s="14">
        <f t="shared" si="4"/>
        <v>0</v>
      </c>
      <c r="H77" s="41">
        <f t="shared" si="1"/>
        <v>1672.727273</v>
      </c>
      <c r="I77" s="40">
        <f t="shared" si="2"/>
        <v>104254.5455</v>
      </c>
      <c r="K77" s="42">
        <f>SUMPRODUCT((B77&gt;=Plan!$C$13:$C$23)*Plan!$D$13:$D$23)</f>
        <v>14000</v>
      </c>
    </row>
    <row r="78" ht="15.75" customHeight="1">
      <c r="A78" s="43">
        <v>74.0</v>
      </c>
      <c r="B78" s="14">
        <f>74*Plan!$C$8</f>
        <v>740000</v>
      </c>
      <c r="C78" s="43" t="str">
        <f t="array" ref="C78">INDEX(Plan!$B$13:$B$23,MATCH(B78,Plan!$C$13:$C$23,1))</f>
        <v>Senior Sales Director</v>
      </c>
      <c r="D78" s="24">
        <f>IF(A78&lt;=100,Plan!$C$5+(Plan!$C$6-Plan!$C$5)*(A78-1)/99,IF(A78&lt;=200,Plan!$C$6+(Plan!$C$7-Plan!$C$6)*(A78-100)/100,Plan!$C$7))</f>
        <v>0.1242424242</v>
      </c>
      <c r="E78" s="25">
        <f>D78*Plan!$C$8</f>
        <v>1242.424242</v>
      </c>
      <c r="F78" s="44">
        <f t="shared" si="3"/>
        <v>442.4242424</v>
      </c>
      <c r="G78" s="14">
        <f t="shared" si="4"/>
        <v>0</v>
      </c>
      <c r="H78" s="41">
        <f t="shared" si="1"/>
        <v>1684.848485</v>
      </c>
      <c r="I78" s="40">
        <f t="shared" si="2"/>
        <v>105939.3939</v>
      </c>
      <c r="K78" s="42">
        <f>SUMPRODUCT((B78&gt;=Plan!$C$13:$C$23)*Plan!$D$13:$D$23)</f>
        <v>14000</v>
      </c>
    </row>
    <row r="79" ht="15.75" customHeight="1">
      <c r="A79" s="43">
        <v>75.0</v>
      </c>
      <c r="B79" s="14">
        <f>75*Plan!$C$8</f>
        <v>750000</v>
      </c>
      <c r="C79" s="43" t="str">
        <f t="array" ref="C79">INDEX(Plan!$B$13:$B$23,MATCH(B79,Plan!$C$13:$C$23,1))</f>
        <v>Senior Sales Director</v>
      </c>
      <c r="D79" s="24">
        <f>IF(A79&lt;=100,Plan!$C$5+(Plan!$C$6-Plan!$C$5)*(A79-1)/99,IF(A79&lt;=200,Plan!$C$6+(Plan!$C$7-Plan!$C$6)*(A79-100)/100,Plan!$C$7))</f>
        <v>0.1248484848</v>
      </c>
      <c r="E79" s="25">
        <f>D79*Plan!$C$8</f>
        <v>1248.484848</v>
      </c>
      <c r="F79" s="44">
        <f t="shared" si="3"/>
        <v>448.4848485</v>
      </c>
      <c r="G79" s="14">
        <f t="shared" si="4"/>
        <v>0</v>
      </c>
      <c r="H79" s="41">
        <f t="shared" si="1"/>
        <v>1696.969697</v>
      </c>
      <c r="I79" s="40">
        <f t="shared" si="2"/>
        <v>107636.3636</v>
      </c>
      <c r="K79" s="42">
        <f>SUMPRODUCT((B79&gt;=Plan!$C$13:$C$23)*Plan!$D$13:$D$23)</f>
        <v>14000</v>
      </c>
    </row>
    <row r="80" ht="15.75" customHeight="1">
      <c r="A80" s="43">
        <v>76.0</v>
      </c>
      <c r="B80" s="14">
        <f>76*Plan!$C$8</f>
        <v>760000</v>
      </c>
      <c r="C80" s="43" t="str">
        <f t="array" ref="C80">INDEX(Plan!$B$13:$B$23,MATCH(B80,Plan!$C$13:$C$23,1))</f>
        <v>Senior Sales Director</v>
      </c>
      <c r="D80" s="24">
        <f>IF(A80&lt;=100,Plan!$C$5+(Plan!$C$6-Plan!$C$5)*(A80-1)/99,IF(A80&lt;=200,Plan!$C$6+(Plan!$C$7-Plan!$C$6)*(A80-100)/100,Plan!$C$7))</f>
        <v>0.1254545455</v>
      </c>
      <c r="E80" s="25">
        <f>D80*Plan!$C$8</f>
        <v>1254.545455</v>
      </c>
      <c r="F80" s="44">
        <f t="shared" si="3"/>
        <v>454.5454545</v>
      </c>
      <c r="G80" s="14">
        <f t="shared" si="4"/>
        <v>0</v>
      </c>
      <c r="H80" s="41">
        <f t="shared" si="1"/>
        <v>1709.090909</v>
      </c>
      <c r="I80" s="40">
        <f t="shared" si="2"/>
        <v>109345.4545</v>
      </c>
      <c r="K80" s="42">
        <f>SUMPRODUCT((B80&gt;=Plan!$C$13:$C$23)*Plan!$D$13:$D$23)</f>
        <v>14000</v>
      </c>
    </row>
    <row r="81" ht="15.75" customHeight="1">
      <c r="A81" s="43">
        <v>77.0</v>
      </c>
      <c r="B81" s="14">
        <f>77*Plan!$C$8</f>
        <v>770000</v>
      </c>
      <c r="C81" s="43" t="str">
        <f t="array" ref="C81">INDEX(Plan!$B$13:$B$23,MATCH(B81,Plan!$C$13:$C$23,1))</f>
        <v>Senior Sales Director</v>
      </c>
      <c r="D81" s="24">
        <f>IF(A81&lt;=100,Plan!$C$5+(Plan!$C$6-Plan!$C$5)*(A81-1)/99,IF(A81&lt;=200,Plan!$C$6+(Plan!$C$7-Plan!$C$6)*(A81-100)/100,Plan!$C$7))</f>
        <v>0.1260606061</v>
      </c>
      <c r="E81" s="25">
        <f>D81*Plan!$C$8</f>
        <v>1260.606061</v>
      </c>
      <c r="F81" s="44">
        <f t="shared" si="3"/>
        <v>460.6060606</v>
      </c>
      <c r="G81" s="14">
        <f t="shared" si="4"/>
        <v>0</v>
      </c>
      <c r="H81" s="41">
        <f t="shared" si="1"/>
        <v>1721.212121</v>
      </c>
      <c r="I81" s="40">
        <f t="shared" si="2"/>
        <v>111066.6667</v>
      </c>
      <c r="K81" s="42">
        <f>SUMPRODUCT((B81&gt;=Plan!$C$13:$C$23)*Plan!$D$13:$D$23)</f>
        <v>14000</v>
      </c>
    </row>
    <row r="82" ht="15.75" customHeight="1">
      <c r="A82" s="43">
        <v>78.0</v>
      </c>
      <c r="B82" s="14">
        <f>78*Plan!$C$8</f>
        <v>780000</v>
      </c>
      <c r="C82" s="43" t="str">
        <f t="array" ref="C82">INDEX(Plan!$B$13:$B$23,MATCH(B82,Plan!$C$13:$C$23,1))</f>
        <v>Senior Sales Director</v>
      </c>
      <c r="D82" s="24">
        <f>IF(A82&lt;=100,Plan!$C$5+(Plan!$C$6-Plan!$C$5)*(A82-1)/99,IF(A82&lt;=200,Plan!$C$6+(Plan!$C$7-Plan!$C$6)*(A82-100)/100,Plan!$C$7))</f>
        <v>0.1266666667</v>
      </c>
      <c r="E82" s="25">
        <f>D82*Plan!$C$8</f>
        <v>1266.666667</v>
      </c>
      <c r="F82" s="44">
        <f t="shared" si="3"/>
        <v>466.6666667</v>
      </c>
      <c r="G82" s="14">
        <f t="shared" si="4"/>
        <v>0</v>
      </c>
      <c r="H82" s="41">
        <f t="shared" si="1"/>
        <v>1733.333333</v>
      </c>
      <c r="I82" s="40">
        <f t="shared" si="2"/>
        <v>112800</v>
      </c>
      <c r="K82" s="42">
        <f>SUMPRODUCT((B82&gt;=Plan!$C$13:$C$23)*Plan!$D$13:$D$23)</f>
        <v>14000</v>
      </c>
    </row>
    <row r="83" ht="15.75" customHeight="1">
      <c r="A83" s="43">
        <v>79.0</v>
      </c>
      <c r="B83" s="14">
        <f>79*Plan!$C$8</f>
        <v>790000</v>
      </c>
      <c r="C83" s="43" t="str">
        <f t="array" ref="C83">INDEX(Plan!$B$13:$B$23,MATCH(B83,Plan!$C$13:$C$23,1))</f>
        <v>Senior Sales Director</v>
      </c>
      <c r="D83" s="24">
        <f>IF(A83&lt;=100,Plan!$C$5+(Plan!$C$6-Plan!$C$5)*(A83-1)/99,IF(A83&lt;=200,Plan!$C$6+(Plan!$C$7-Plan!$C$6)*(A83-100)/100,Plan!$C$7))</f>
        <v>0.1272727273</v>
      </c>
      <c r="E83" s="25">
        <f>D83*Plan!$C$8</f>
        <v>1272.727273</v>
      </c>
      <c r="F83" s="44">
        <f t="shared" si="3"/>
        <v>472.7272727</v>
      </c>
      <c r="G83" s="14">
        <f t="shared" si="4"/>
        <v>0</v>
      </c>
      <c r="H83" s="41">
        <f t="shared" si="1"/>
        <v>1745.454545</v>
      </c>
      <c r="I83" s="40">
        <f t="shared" si="2"/>
        <v>114545.4545</v>
      </c>
      <c r="K83" s="42">
        <f>SUMPRODUCT((B83&gt;=Plan!$C$13:$C$23)*Plan!$D$13:$D$23)</f>
        <v>14000</v>
      </c>
    </row>
    <row r="84" ht="15.75" customHeight="1">
      <c r="A84" s="43">
        <v>80.0</v>
      </c>
      <c r="B84" s="14">
        <f>80*Plan!$C$8</f>
        <v>800000</v>
      </c>
      <c r="C84" s="43" t="str">
        <f t="array" ref="C84">INDEX(Plan!$B$13:$B$23,MATCH(B84,Plan!$C$13:$C$23,1))</f>
        <v>Senior Sales Director</v>
      </c>
      <c r="D84" s="24">
        <f>IF(A84&lt;=100,Plan!$C$5+(Plan!$C$6-Plan!$C$5)*(A84-1)/99,IF(A84&lt;=200,Plan!$C$6+(Plan!$C$7-Plan!$C$6)*(A84-100)/100,Plan!$C$7))</f>
        <v>0.1278787879</v>
      </c>
      <c r="E84" s="25">
        <f>D84*Plan!$C$8</f>
        <v>1278.787879</v>
      </c>
      <c r="F84" s="44">
        <f t="shared" si="3"/>
        <v>478.7878788</v>
      </c>
      <c r="G84" s="14">
        <f t="shared" si="4"/>
        <v>0</v>
      </c>
      <c r="H84" s="41">
        <f t="shared" si="1"/>
        <v>1757.575758</v>
      </c>
      <c r="I84" s="40">
        <f t="shared" si="2"/>
        <v>116303.0303</v>
      </c>
      <c r="K84" s="42">
        <f>SUMPRODUCT((B84&gt;=Plan!$C$13:$C$23)*Plan!$D$13:$D$23)</f>
        <v>14000</v>
      </c>
    </row>
    <row r="85" ht="15.75" customHeight="1">
      <c r="A85" s="43">
        <v>81.0</v>
      </c>
      <c r="B85" s="14">
        <f>81*Plan!$C$8</f>
        <v>810000</v>
      </c>
      <c r="C85" s="43" t="str">
        <f t="array" ref="C85">INDEX(Plan!$B$13:$B$23,MATCH(B85,Plan!$C$13:$C$23,1))</f>
        <v>Senior Sales Director</v>
      </c>
      <c r="D85" s="24">
        <f>IF(A85&lt;=100,Plan!$C$5+(Plan!$C$6-Plan!$C$5)*(A85-1)/99,IF(A85&lt;=200,Plan!$C$6+(Plan!$C$7-Plan!$C$6)*(A85-100)/100,Plan!$C$7))</f>
        <v>0.1284848485</v>
      </c>
      <c r="E85" s="25">
        <f>D85*Plan!$C$8</f>
        <v>1284.848485</v>
      </c>
      <c r="F85" s="44">
        <f t="shared" si="3"/>
        <v>484.8484848</v>
      </c>
      <c r="G85" s="14">
        <f t="shared" si="4"/>
        <v>0</v>
      </c>
      <c r="H85" s="41">
        <f t="shared" si="1"/>
        <v>1769.69697</v>
      </c>
      <c r="I85" s="40">
        <f t="shared" si="2"/>
        <v>118072.7273</v>
      </c>
      <c r="K85" s="42">
        <f>SUMPRODUCT((B85&gt;=Plan!$C$13:$C$23)*Plan!$D$13:$D$23)</f>
        <v>14000</v>
      </c>
    </row>
    <row r="86" ht="15.75" customHeight="1">
      <c r="A86" s="43">
        <v>82.0</v>
      </c>
      <c r="B86" s="14">
        <f>82*Plan!$C$8</f>
        <v>820000</v>
      </c>
      <c r="C86" s="43" t="str">
        <f t="array" ref="C86">INDEX(Plan!$B$13:$B$23,MATCH(B86,Plan!$C$13:$C$23,1))</f>
        <v>Senior Sales Director</v>
      </c>
      <c r="D86" s="24">
        <f>IF(A86&lt;=100,Plan!$C$5+(Plan!$C$6-Plan!$C$5)*(A86-1)/99,IF(A86&lt;=200,Plan!$C$6+(Plan!$C$7-Plan!$C$6)*(A86-100)/100,Plan!$C$7))</f>
        <v>0.1290909091</v>
      </c>
      <c r="E86" s="25">
        <f>D86*Plan!$C$8</f>
        <v>1290.909091</v>
      </c>
      <c r="F86" s="44">
        <f t="shared" si="3"/>
        <v>490.9090909</v>
      </c>
      <c r="G86" s="14">
        <f t="shared" si="4"/>
        <v>0</v>
      </c>
      <c r="H86" s="41">
        <f t="shared" si="1"/>
        <v>1781.818182</v>
      </c>
      <c r="I86" s="40">
        <f t="shared" si="2"/>
        <v>119854.5455</v>
      </c>
      <c r="K86" s="42">
        <f>SUMPRODUCT((B86&gt;=Plan!$C$13:$C$23)*Plan!$D$13:$D$23)</f>
        <v>14000</v>
      </c>
    </row>
    <row r="87" ht="15.75" customHeight="1">
      <c r="A87" s="43">
        <v>83.0</v>
      </c>
      <c r="B87" s="14">
        <f>83*Plan!$C$8</f>
        <v>830000</v>
      </c>
      <c r="C87" s="43" t="str">
        <f t="array" ref="C87">INDEX(Plan!$B$13:$B$23,MATCH(B87,Plan!$C$13:$C$23,1))</f>
        <v>Senior Sales Director</v>
      </c>
      <c r="D87" s="24">
        <f>IF(A87&lt;=100,Plan!$C$5+(Plan!$C$6-Plan!$C$5)*(A87-1)/99,IF(A87&lt;=200,Plan!$C$6+(Plan!$C$7-Plan!$C$6)*(A87-100)/100,Plan!$C$7))</f>
        <v>0.1296969697</v>
      </c>
      <c r="E87" s="25">
        <f>D87*Plan!$C$8</f>
        <v>1296.969697</v>
      </c>
      <c r="F87" s="44">
        <f t="shared" si="3"/>
        <v>496.969697</v>
      </c>
      <c r="G87" s="14">
        <f t="shared" si="4"/>
        <v>0</v>
      </c>
      <c r="H87" s="41">
        <f t="shared" si="1"/>
        <v>1793.939394</v>
      </c>
      <c r="I87" s="40">
        <f t="shared" si="2"/>
        <v>121648.4848</v>
      </c>
      <c r="K87" s="42">
        <f>SUMPRODUCT((B87&gt;=Plan!$C$13:$C$23)*Plan!$D$13:$D$23)</f>
        <v>14000</v>
      </c>
    </row>
    <row r="88" ht="15.75" customHeight="1">
      <c r="A88" s="43">
        <v>84.0</v>
      </c>
      <c r="B88" s="14">
        <f>84*Plan!$C$8</f>
        <v>840000</v>
      </c>
      <c r="C88" s="43" t="str">
        <f t="array" ref="C88">INDEX(Plan!$B$13:$B$23,MATCH(B88,Plan!$C$13:$C$23,1))</f>
        <v>Senior Sales Director</v>
      </c>
      <c r="D88" s="24">
        <f>IF(A88&lt;=100,Plan!$C$5+(Plan!$C$6-Plan!$C$5)*(A88-1)/99,IF(A88&lt;=200,Plan!$C$6+(Plan!$C$7-Plan!$C$6)*(A88-100)/100,Plan!$C$7))</f>
        <v>0.1303030303</v>
      </c>
      <c r="E88" s="25">
        <f>D88*Plan!$C$8</f>
        <v>1303.030303</v>
      </c>
      <c r="F88" s="44">
        <f t="shared" si="3"/>
        <v>503.030303</v>
      </c>
      <c r="G88" s="14">
        <f t="shared" si="4"/>
        <v>0</v>
      </c>
      <c r="H88" s="41">
        <f t="shared" si="1"/>
        <v>1806.060606</v>
      </c>
      <c r="I88" s="40">
        <f t="shared" si="2"/>
        <v>123454.5455</v>
      </c>
      <c r="K88" s="42">
        <f>SUMPRODUCT((B88&gt;=Plan!$C$13:$C$23)*Plan!$D$13:$D$23)</f>
        <v>14000</v>
      </c>
    </row>
    <row r="89" ht="15.75" customHeight="1">
      <c r="A89" s="43">
        <v>85.0</v>
      </c>
      <c r="B89" s="14">
        <f>85*Plan!$C$8</f>
        <v>850000</v>
      </c>
      <c r="C89" s="43" t="str">
        <f t="array" ref="C89">INDEX(Plan!$B$13:$B$23,MATCH(B89,Plan!$C$13:$C$23,1))</f>
        <v>Senior Sales Director</v>
      </c>
      <c r="D89" s="24">
        <f>IF(A89&lt;=100,Plan!$C$5+(Plan!$C$6-Plan!$C$5)*(A89-1)/99,IF(A89&lt;=200,Plan!$C$6+(Plan!$C$7-Plan!$C$6)*(A89-100)/100,Plan!$C$7))</f>
        <v>0.1309090909</v>
      </c>
      <c r="E89" s="25">
        <f>D89*Plan!$C$8</f>
        <v>1309.090909</v>
      </c>
      <c r="F89" s="44">
        <f t="shared" si="3"/>
        <v>509.0909091</v>
      </c>
      <c r="G89" s="14">
        <f t="shared" si="4"/>
        <v>0</v>
      </c>
      <c r="H89" s="41">
        <f t="shared" si="1"/>
        <v>1818.181818</v>
      </c>
      <c r="I89" s="40">
        <f t="shared" si="2"/>
        <v>125272.7273</v>
      </c>
      <c r="K89" s="42">
        <f>SUMPRODUCT((B89&gt;=Plan!$C$13:$C$23)*Plan!$D$13:$D$23)</f>
        <v>14000</v>
      </c>
    </row>
    <row r="90" ht="15.75" customHeight="1">
      <c r="A90" s="43">
        <v>86.0</v>
      </c>
      <c r="B90" s="14">
        <f>86*Plan!$C$8</f>
        <v>860000</v>
      </c>
      <c r="C90" s="43" t="str">
        <f t="array" ref="C90">INDEX(Plan!$B$13:$B$23,MATCH(B90,Plan!$C$13:$C$23,1))</f>
        <v>Senior Sales Director</v>
      </c>
      <c r="D90" s="24">
        <f>IF(A90&lt;=100,Plan!$C$5+(Plan!$C$6-Plan!$C$5)*(A90-1)/99,IF(A90&lt;=200,Plan!$C$6+(Plan!$C$7-Plan!$C$6)*(A90-100)/100,Plan!$C$7))</f>
        <v>0.1315151515</v>
      </c>
      <c r="E90" s="25">
        <f>D90*Plan!$C$8</f>
        <v>1315.151515</v>
      </c>
      <c r="F90" s="44">
        <f t="shared" si="3"/>
        <v>515.1515152</v>
      </c>
      <c r="G90" s="14">
        <f t="shared" si="4"/>
        <v>0</v>
      </c>
      <c r="H90" s="41">
        <f t="shared" si="1"/>
        <v>1830.30303</v>
      </c>
      <c r="I90" s="40">
        <f t="shared" si="2"/>
        <v>127103.0303</v>
      </c>
      <c r="K90" s="42">
        <f>SUMPRODUCT((B90&gt;=Plan!$C$13:$C$23)*Plan!$D$13:$D$23)</f>
        <v>14000</v>
      </c>
    </row>
    <row r="91" ht="15.75" customHeight="1">
      <c r="A91" s="43">
        <v>87.0</v>
      </c>
      <c r="B91" s="14">
        <f>87*Plan!$C$8</f>
        <v>870000</v>
      </c>
      <c r="C91" s="43" t="str">
        <f t="array" ref="C91">INDEX(Plan!$B$13:$B$23,MATCH(B91,Plan!$C$13:$C$23,1))</f>
        <v>Senior Sales Director</v>
      </c>
      <c r="D91" s="24">
        <f>IF(A91&lt;=100,Plan!$C$5+(Plan!$C$6-Plan!$C$5)*(A91-1)/99,IF(A91&lt;=200,Plan!$C$6+(Plan!$C$7-Plan!$C$6)*(A91-100)/100,Plan!$C$7))</f>
        <v>0.1321212121</v>
      </c>
      <c r="E91" s="25">
        <f>D91*Plan!$C$8</f>
        <v>1321.212121</v>
      </c>
      <c r="F91" s="44">
        <f t="shared" si="3"/>
        <v>521.2121212</v>
      </c>
      <c r="G91" s="14">
        <f t="shared" si="4"/>
        <v>0</v>
      </c>
      <c r="H91" s="41">
        <f t="shared" si="1"/>
        <v>1842.424242</v>
      </c>
      <c r="I91" s="40">
        <f t="shared" si="2"/>
        <v>128945.4545</v>
      </c>
      <c r="K91" s="42">
        <f>SUMPRODUCT((B91&gt;=Plan!$C$13:$C$23)*Plan!$D$13:$D$23)</f>
        <v>14000</v>
      </c>
    </row>
    <row r="92" ht="15.75" customHeight="1">
      <c r="A92" s="43">
        <v>88.0</v>
      </c>
      <c r="B92" s="14">
        <f>88*Plan!$C$8</f>
        <v>880000</v>
      </c>
      <c r="C92" s="43" t="str">
        <f t="array" ref="C92">INDEX(Plan!$B$13:$B$23,MATCH(B92,Plan!$C$13:$C$23,1))</f>
        <v>Senior Sales Director</v>
      </c>
      <c r="D92" s="24">
        <f>IF(A92&lt;=100,Plan!$C$5+(Plan!$C$6-Plan!$C$5)*(A92-1)/99,IF(A92&lt;=200,Plan!$C$6+(Plan!$C$7-Plan!$C$6)*(A92-100)/100,Plan!$C$7))</f>
        <v>0.1327272727</v>
      </c>
      <c r="E92" s="25">
        <f>D92*Plan!$C$8</f>
        <v>1327.272727</v>
      </c>
      <c r="F92" s="44">
        <f t="shared" si="3"/>
        <v>527.2727273</v>
      </c>
      <c r="G92" s="14">
        <f t="shared" si="4"/>
        <v>0</v>
      </c>
      <c r="H92" s="41">
        <f t="shared" si="1"/>
        <v>1854.545455</v>
      </c>
      <c r="I92" s="40">
        <f t="shared" si="2"/>
        <v>130800</v>
      </c>
      <c r="K92" s="42">
        <f>SUMPRODUCT((B92&gt;=Plan!$C$13:$C$23)*Plan!$D$13:$D$23)</f>
        <v>14000</v>
      </c>
    </row>
    <row r="93" ht="15.75" customHeight="1">
      <c r="A93" s="43">
        <v>89.0</v>
      </c>
      <c r="B93" s="14">
        <f>89*Plan!$C$8</f>
        <v>890000</v>
      </c>
      <c r="C93" s="43" t="str">
        <f t="array" ref="C93">INDEX(Plan!$B$13:$B$23,MATCH(B93,Plan!$C$13:$C$23,1))</f>
        <v>Senior Sales Director</v>
      </c>
      <c r="D93" s="24">
        <f>IF(A93&lt;=100,Plan!$C$5+(Plan!$C$6-Plan!$C$5)*(A93-1)/99,IF(A93&lt;=200,Plan!$C$6+(Plan!$C$7-Plan!$C$6)*(A93-100)/100,Plan!$C$7))</f>
        <v>0.1333333333</v>
      </c>
      <c r="E93" s="25">
        <f>D93*Plan!$C$8</f>
        <v>1333.333333</v>
      </c>
      <c r="F93" s="44">
        <f t="shared" si="3"/>
        <v>533.3333333</v>
      </c>
      <c r="G93" s="14">
        <f t="shared" si="4"/>
        <v>0</v>
      </c>
      <c r="H93" s="41">
        <f t="shared" si="1"/>
        <v>1866.666667</v>
      </c>
      <c r="I93" s="40">
        <f t="shared" si="2"/>
        <v>132666.6667</v>
      </c>
      <c r="K93" s="42">
        <f>SUMPRODUCT((B93&gt;=Plan!$C$13:$C$23)*Plan!$D$13:$D$23)</f>
        <v>14000</v>
      </c>
    </row>
    <row r="94" ht="15.75" customHeight="1">
      <c r="A94" s="43">
        <v>90.0</v>
      </c>
      <c r="B94" s="14">
        <f>90*Plan!$C$8</f>
        <v>900000</v>
      </c>
      <c r="C94" s="43" t="str">
        <f t="array" ref="C94">INDEX(Plan!$B$13:$B$23,MATCH(B94,Plan!$C$13:$C$23,1))</f>
        <v>Senior Sales Director</v>
      </c>
      <c r="D94" s="24">
        <f>IF(A94&lt;=100,Plan!$C$5+(Plan!$C$6-Plan!$C$5)*(A94-1)/99,IF(A94&lt;=200,Plan!$C$6+(Plan!$C$7-Plan!$C$6)*(A94-100)/100,Plan!$C$7))</f>
        <v>0.1339393939</v>
      </c>
      <c r="E94" s="25">
        <f>D94*Plan!$C$8</f>
        <v>1339.393939</v>
      </c>
      <c r="F94" s="44">
        <f t="shared" si="3"/>
        <v>539.3939394</v>
      </c>
      <c r="G94" s="14">
        <f t="shared" si="4"/>
        <v>0</v>
      </c>
      <c r="H94" s="41">
        <f t="shared" si="1"/>
        <v>1878.787879</v>
      </c>
      <c r="I94" s="40">
        <f t="shared" si="2"/>
        <v>134545.4545</v>
      </c>
      <c r="K94" s="42">
        <f>SUMPRODUCT((B94&gt;=Plan!$C$13:$C$23)*Plan!$D$13:$D$23)</f>
        <v>14000</v>
      </c>
    </row>
    <row r="95" ht="15.75" customHeight="1">
      <c r="A95" s="43">
        <v>91.0</v>
      </c>
      <c r="B95" s="14">
        <f>91*Plan!$C$8</f>
        <v>910000</v>
      </c>
      <c r="C95" s="43" t="str">
        <f t="array" ref="C95">INDEX(Plan!$B$13:$B$23,MATCH(B95,Plan!$C$13:$C$23,1))</f>
        <v>Senior Sales Director</v>
      </c>
      <c r="D95" s="24">
        <f>IF(A95&lt;=100,Plan!$C$5+(Plan!$C$6-Plan!$C$5)*(A95-1)/99,IF(A95&lt;=200,Plan!$C$6+(Plan!$C$7-Plan!$C$6)*(A95-100)/100,Plan!$C$7))</f>
        <v>0.1345454545</v>
      </c>
      <c r="E95" s="25">
        <f>D95*Plan!$C$8</f>
        <v>1345.454545</v>
      </c>
      <c r="F95" s="44">
        <f t="shared" si="3"/>
        <v>545.4545455</v>
      </c>
      <c r="G95" s="14">
        <f t="shared" si="4"/>
        <v>0</v>
      </c>
      <c r="H95" s="41">
        <f t="shared" si="1"/>
        <v>1890.909091</v>
      </c>
      <c r="I95" s="40">
        <f t="shared" si="2"/>
        <v>136436.3636</v>
      </c>
      <c r="K95" s="42">
        <f>SUMPRODUCT((B95&gt;=Plan!$C$13:$C$23)*Plan!$D$13:$D$23)</f>
        <v>14000</v>
      </c>
    </row>
    <row r="96" ht="15.75" customHeight="1">
      <c r="A96" s="43">
        <v>92.0</v>
      </c>
      <c r="B96" s="14">
        <f>92*Plan!$C$8</f>
        <v>920000</v>
      </c>
      <c r="C96" s="43" t="str">
        <f t="array" ref="C96">INDEX(Plan!$B$13:$B$23,MATCH(B96,Plan!$C$13:$C$23,1))</f>
        <v>Senior Sales Director</v>
      </c>
      <c r="D96" s="24">
        <f>IF(A96&lt;=100,Plan!$C$5+(Plan!$C$6-Plan!$C$5)*(A96-1)/99,IF(A96&lt;=200,Plan!$C$6+(Plan!$C$7-Plan!$C$6)*(A96-100)/100,Plan!$C$7))</f>
        <v>0.1351515152</v>
      </c>
      <c r="E96" s="25">
        <f>D96*Plan!$C$8</f>
        <v>1351.515152</v>
      </c>
      <c r="F96" s="44">
        <f t="shared" si="3"/>
        <v>551.5151515</v>
      </c>
      <c r="G96" s="14">
        <f t="shared" si="4"/>
        <v>0</v>
      </c>
      <c r="H96" s="41">
        <f t="shared" si="1"/>
        <v>1903.030303</v>
      </c>
      <c r="I96" s="40">
        <f t="shared" si="2"/>
        <v>138339.3939</v>
      </c>
      <c r="K96" s="42">
        <f>SUMPRODUCT((B96&gt;=Plan!$C$13:$C$23)*Plan!$D$13:$D$23)</f>
        <v>14000</v>
      </c>
    </row>
    <row r="97" ht="15.75" customHeight="1">
      <c r="A97" s="43">
        <v>93.0</v>
      </c>
      <c r="B97" s="14">
        <f>93*Plan!$C$8</f>
        <v>930000</v>
      </c>
      <c r="C97" s="43" t="str">
        <f t="array" ref="C97">INDEX(Plan!$B$13:$B$23,MATCH(B97,Plan!$C$13:$C$23,1))</f>
        <v>Senior Sales Director</v>
      </c>
      <c r="D97" s="24">
        <f>IF(A97&lt;=100,Plan!$C$5+(Plan!$C$6-Plan!$C$5)*(A97-1)/99,IF(A97&lt;=200,Plan!$C$6+(Plan!$C$7-Plan!$C$6)*(A97-100)/100,Plan!$C$7))</f>
        <v>0.1357575758</v>
      </c>
      <c r="E97" s="25">
        <f>D97*Plan!$C$8</f>
        <v>1357.575758</v>
      </c>
      <c r="F97" s="44">
        <f t="shared" si="3"/>
        <v>557.5757576</v>
      </c>
      <c r="G97" s="14">
        <f t="shared" si="4"/>
        <v>0</v>
      </c>
      <c r="H97" s="41">
        <f t="shared" si="1"/>
        <v>1915.151515</v>
      </c>
      <c r="I97" s="40">
        <f t="shared" si="2"/>
        <v>140254.5455</v>
      </c>
      <c r="K97" s="42">
        <f>SUMPRODUCT((B97&gt;=Plan!$C$13:$C$23)*Plan!$D$13:$D$23)</f>
        <v>14000</v>
      </c>
    </row>
    <row r="98" ht="15.75" customHeight="1">
      <c r="A98" s="43">
        <v>94.0</v>
      </c>
      <c r="B98" s="14">
        <f>94*Plan!$C$8</f>
        <v>940000</v>
      </c>
      <c r="C98" s="43" t="str">
        <f t="array" ref="C98">INDEX(Plan!$B$13:$B$23,MATCH(B98,Plan!$C$13:$C$23,1))</f>
        <v>Senior Sales Director</v>
      </c>
      <c r="D98" s="24">
        <f>IF(A98&lt;=100,Plan!$C$5+(Plan!$C$6-Plan!$C$5)*(A98-1)/99,IF(A98&lt;=200,Plan!$C$6+(Plan!$C$7-Plan!$C$6)*(A98-100)/100,Plan!$C$7))</f>
        <v>0.1363636364</v>
      </c>
      <c r="E98" s="25">
        <f>D98*Plan!$C$8</f>
        <v>1363.636364</v>
      </c>
      <c r="F98" s="44">
        <f t="shared" si="3"/>
        <v>563.6363636</v>
      </c>
      <c r="G98" s="14">
        <f t="shared" si="4"/>
        <v>0</v>
      </c>
      <c r="H98" s="41">
        <f t="shared" si="1"/>
        <v>1927.272727</v>
      </c>
      <c r="I98" s="40">
        <f t="shared" si="2"/>
        <v>142181.8182</v>
      </c>
      <c r="K98" s="42">
        <f>SUMPRODUCT((B98&gt;=Plan!$C$13:$C$23)*Plan!$D$13:$D$23)</f>
        <v>14000</v>
      </c>
    </row>
    <row r="99" ht="15.75" customHeight="1">
      <c r="A99" s="43">
        <v>95.0</v>
      </c>
      <c r="B99" s="14">
        <f>95*Plan!$C$8</f>
        <v>950000</v>
      </c>
      <c r="C99" s="43" t="str">
        <f t="array" ref="C99">INDEX(Plan!$B$13:$B$23,MATCH(B99,Plan!$C$13:$C$23,1))</f>
        <v>Vice President</v>
      </c>
      <c r="D99" s="24">
        <f>IF(A99&lt;=100,Plan!$C$5+(Plan!$C$6-Plan!$C$5)*(A99-1)/99,IF(A99&lt;=200,Plan!$C$6+(Plan!$C$7-Plan!$C$6)*(A99-100)/100,Plan!$C$7))</f>
        <v>0.136969697</v>
      </c>
      <c r="E99" s="25">
        <f>D99*Plan!$C$8</f>
        <v>1369.69697</v>
      </c>
      <c r="F99" s="44">
        <f t="shared" si="3"/>
        <v>569.6969697</v>
      </c>
      <c r="G99" s="14">
        <f t="shared" si="4"/>
        <v>5000</v>
      </c>
      <c r="H99" s="41">
        <f t="shared" si="1"/>
        <v>6939.393939</v>
      </c>
      <c r="I99" s="40">
        <f t="shared" si="2"/>
        <v>149121.2121</v>
      </c>
      <c r="K99" s="42">
        <f>SUMPRODUCT((B99&gt;=Plan!$C$13:$C$23)*Plan!$D$13:$D$23)</f>
        <v>19000</v>
      </c>
    </row>
    <row r="100" ht="15.75" customHeight="1">
      <c r="A100" s="43">
        <v>96.0</v>
      </c>
      <c r="B100" s="14">
        <f>96*Plan!$C$8</f>
        <v>960000</v>
      </c>
      <c r="C100" s="43" t="str">
        <f t="array" ref="C100">INDEX(Plan!$B$13:$B$23,MATCH(B100,Plan!$C$13:$C$23,1))</f>
        <v>Vice President</v>
      </c>
      <c r="D100" s="24">
        <f>IF(A100&lt;=100,Plan!$C$5+(Plan!$C$6-Plan!$C$5)*(A100-1)/99,IF(A100&lt;=200,Plan!$C$6+(Plan!$C$7-Plan!$C$6)*(A100-100)/100,Plan!$C$7))</f>
        <v>0.1375757576</v>
      </c>
      <c r="E100" s="25">
        <f>D100*Plan!$C$8</f>
        <v>1375.757576</v>
      </c>
      <c r="F100" s="44">
        <f t="shared" si="3"/>
        <v>575.7575758</v>
      </c>
      <c r="G100" s="14">
        <f t="shared" si="4"/>
        <v>0</v>
      </c>
      <c r="H100" s="41">
        <f t="shared" si="1"/>
        <v>1951.515152</v>
      </c>
      <c r="I100" s="40">
        <f t="shared" si="2"/>
        <v>151072.7273</v>
      </c>
      <c r="K100" s="42">
        <f>SUMPRODUCT((B100&gt;=Plan!$C$13:$C$23)*Plan!$D$13:$D$23)</f>
        <v>19000</v>
      </c>
    </row>
    <row r="101" ht="15.75" customHeight="1">
      <c r="A101" s="43">
        <v>97.0</v>
      </c>
      <c r="B101" s="14">
        <f>97*Plan!$C$8</f>
        <v>970000</v>
      </c>
      <c r="C101" s="43" t="str">
        <f t="array" ref="C101">INDEX(Plan!$B$13:$B$23,MATCH(B101,Plan!$C$13:$C$23,1))</f>
        <v>Vice President</v>
      </c>
      <c r="D101" s="24">
        <f>IF(A101&lt;=100,Plan!$C$5+(Plan!$C$6-Plan!$C$5)*(A101-1)/99,IF(A101&lt;=200,Plan!$C$6+(Plan!$C$7-Plan!$C$6)*(A101-100)/100,Plan!$C$7))</f>
        <v>0.1381818182</v>
      </c>
      <c r="E101" s="25">
        <f>D101*Plan!$C$8</f>
        <v>1381.818182</v>
      </c>
      <c r="F101" s="44">
        <f t="shared" si="3"/>
        <v>581.8181818</v>
      </c>
      <c r="G101" s="14">
        <f t="shared" si="4"/>
        <v>0</v>
      </c>
      <c r="H101" s="41">
        <f t="shared" si="1"/>
        <v>1963.636364</v>
      </c>
      <c r="I101" s="40">
        <f t="shared" si="2"/>
        <v>153036.3636</v>
      </c>
      <c r="K101" s="42">
        <f>SUMPRODUCT((B101&gt;=Plan!$C$13:$C$23)*Plan!$D$13:$D$23)</f>
        <v>19000</v>
      </c>
    </row>
    <row r="102" ht="15.75" customHeight="1">
      <c r="A102" s="43">
        <v>98.0</v>
      </c>
      <c r="B102" s="14">
        <f>98*Plan!$C$8</f>
        <v>980000</v>
      </c>
      <c r="C102" s="43" t="str">
        <f t="array" ref="C102">INDEX(Plan!$B$13:$B$23,MATCH(B102,Plan!$C$13:$C$23,1))</f>
        <v>Vice President</v>
      </c>
      <c r="D102" s="24">
        <f>IF(A102&lt;=100,Plan!$C$5+(Plan!$C$6-Plan!$C$5)*(A102-1)/99,IF(A102&lt;=200,Plan!$C$6+(Plan!$C$7-Plan!$C$6)*(A102-100)/100,Plan!$C$7))</f>
        <v>0.1387878788</v>
      </c>
      <c r="E102" s="25">
        <f>D102*Plan!$C$8</f>
        <v>1387.878788</v>
      </c>
      <c r="F102" s="44">
        <f t="shared" si="3"/>
        <v>587.8787879</v>
      </c>
      <c r="G102" s="14">
        <f t="shared" si="4"/>
        <v>0</v>
      </c>
      <c r="H102" s="41">
        <f t="shared" si="1"/>
        <v>1975.757576</v>
      </c>
      <c r="I102" s="40">
        <f t="shared" si="2"/>
        <v>155012.1212</v>
      </c>
      <c r="K102" s="42">
        <f>SUMPRODUCT((B102&gt;=Plan!$C$13:$C$23)*Plan!$D$13:$D$23)</f>
        <v>19000</v>
      </c>
    </row>
    <row r="103" ht="15.75" customHeight="1">
      <c r="A103" s="43">
        <v>99.0</v>
      </c>
      <c r="B103" s="14">
        <f>99*Plan!$C$8</f>
        <v>990000</v>
      </c>
      <c r="C103" s="43" t="str">
        <f t="array" ref="C103">INDEX(Plan!$B$13:$B$23,MATCH(B103,Plan!$C$13:$C$23,1))</f>
        <v>Vice President</v>
      </c>
      <c r="D103" s="24">
        <f>IF(A103&lt;=100,Plan!$C$5+(Plan!$C$6-Plan!$C$5)*(A103-1)/99,IF(A103&lt;=200,Plan!$C$6+(Plan!$C$7-Plan!$C$6)*(A103-100)/100,Plan!$C$7))</f>
        <v>0.1393939394</v>
      </c>
      <c r="E103" s="25">
        <f>D103*Plan!$C$8</f>
        <v>1393.939394</v>
      </c>
      <c r="F103" s="44">
        <f t="shared" si="3"/>
        <v>593.9393939</v>
      </c>
      <c r="G103" s="14">
        <f t="shared" si="4"/>
        <v>0</v>
      </c>
      <c r="H103" s="41">
        <f t="shared" si="1"/>
        <v>1987.878788</v>
      </c>
      <c r="I103" s="40">
        <f t="shared" si="2"/>
        <v>157000</v>
      </c>
      <c r="K103" s="42">
        <f>SUMPRODUCT((B103&gt;=Plan!$C$13:$C$23)*Plan!$D$13:$D$23)</f>
        <v>19000</v>
      </c>
    </row>
    <row r="104" ht="15.75" customHeight="1">
      <c r="A104" s="43">
        <v>100.0</v>
      </c>
      <c r="B104" s="14">
        <f>100*Plan!$C$8</f>
        <v>1000000</v>
      </c>
      <c r="C104" s="43" t="str">
        <f t="array" ref="C104">INDEX(Plan!$B$13:$B$23,MATCH(B104,Plan!$C$13:$C$23,1))</f>
        <v>Vice President</v>
      </c>
      <c r="D104" s="24">
        <f>IF(A104&lt;=100,Plan!$C$5+(Plan!$C$6-Plan!$C$5)*(A104-1)/99,IF(A104&lt;=200,Plan!$C$6+(Plan!$C$7-Plan!$C$6)*(A104-100)/100,Plan!$C$7))</f>
        <v>0.14</v>
      </c>
      <c r="E104" s="25">
        <f>D104*Plan!$C$8</f>
        <v>1400</v>
      </c>
      <c r="F104" s="44">
        <f t="shared" si="3"/>
        <v>600</v>
      </c>
      <c r="G104" s="14">
        <f t="shared" si="4"/>
        <v>0</v>
      </c>
      <c r="H104" s="41">
        <f t="shared" si="1"/>
        <v>2000</v>
      </c>
      <c r="I104" s="40">
        <f t="shared" si="2"/>
        <v>159000</v>
      </c>
      <c r="K104" s="42">
        <f>SUMPRODUCT((B104&gt;=Plan!$C$13:$C$23)*Plan!$D$13:$D$23)</f>
        <v>19000</v>
      </c>
    </row>
    <row r="105" ht="15.75" customHeight="1">
      <c r="A105" s="43">
        <v>101.0</v>
      </c>
      <c r="B105" s="14">
        <f>101*Plan!$C$8</f>
        <v>1010000</v>
      </c>
      <c r="C105" s="43" t="str">
        <f t="array" ref="C105">INDEX(Plan!$B$13:$B$23,MATCH(B105,Plan!$C$13:$C$23,1))</f>
        <v>Vice President</v>
      </c>
      <c r="D105" s="24">
        <f>IF(A105&lt;=100,Plan!$C$5+(Plan!$C$6-Plan!$C$5)*(A105-1)/99,IF(A105&lt;=200,Plan!$C$6+(Plan!$C$7-Plan!$C$6)*(A105-100)/100,Plan!$C$7))</f>
        <v>0.1401</v>
      </c>
      <c r="E105" s="25">
        <f>D105*Plan!$C$8</f>
        <v>1401</v>
      </c>
      <c r="F105" s="44">
        <f t="shared" si="3"/>
        <v>100</v>
      </c>
      <c r="G105" s="14">
        <f t="shared" si="4"/>
        <v>0</v>
      </c>
      <c r="H105" s="41">
        <f t="shared" si="1"/>
        <v>1501</v>
      </c>
      <c r="I105" s="40">
        <f t="shared" si="2"/>
        <v>160501</v>
      </c>
      <c r="K105" s="42">
        <f>SUMPRODUCT((B105&gt;=Plan!$C$13:$C$23)*Plan!$D$13:$D$23)</f>
        <v>19000</v>
      </c>
    </row>
    <row r="106" ht="15.75" customHeight="1">
      <c r="A106" s="43">
        <v>102.0</v>
      </c>
      <c r="B106" s="14">
        <f>102*Plan!$C$8</f>
        <v>1020000</v>
      </c>
      <c r="C106" s="43" t="str">
        <f t="array" ref="C106">INDEX(Plan!$B$13:$B$23,MATCH(B106,Plan!$C$13:$C$23,1))</f>
        <v>Vice President</v>
      </c>
      <c r="D106" s="24">
        <f>IF(A106&lt;=100,Plan!$C$5+(Plan!$C$6-Plan!$C$5)*(A106-1)/99,IF(A106&lt;=200,Plan!$C$6+(Plan!$C$7-Plan!$C$6)*(A106-100)/100,Plan!$C$7))</f>
        <v>0.1402</v>
      </c>
      <c r="E106" s="25">
        <f>D106*Plan!$C$8</f>
        <v>1402</v>
      </c>
      <c r="F106" s="44">
        <f t="shared" si="3"/>
        <v>101</v>
      </c>
      <c r="G106" s="14">
        <f t="shared" si="4"/>
        <v>0</v>
      </c>
      <c r="H106" s="41">
        <f t="shared" si="1"/>
        <v>1503</v>
      </c>
      <c r="I106" s="40">
        <f t="shared" si="2"/>
        <v>162004</v>
      </c>
      <c r="K106" s="42">
        <f>SUMPRODUCT((B106&gt;=Plan!$C$13:$C$23)*Plan!$D$13:$D$23)</f>
        <v>19000</v>
      </c>
    </row>
    <row r="107" ht="15.75" customHeight="1">
      <c r="A107" s="43">
        <v>103.0</v>
      </c>
      <c r="B107" s="14">
        <f>103*Plan!$C$8</f>
        <v>1030000</v>
      </c>
      <c r="C107" s="43" t="str">
        <f t="array" ref="C107">INDEX(Plan!$B$13:$B$23,MATCH(B107,Plan!$C$13:$C$23,1))</f>
        <v>Vice President</v>
      </c>
      <c r="D107" s="24">
        <f>IF(A107&lt;=100,Plan!$C$5+(Plan!$C$6-Plan!$C$5)*(A107-1)/99,IF(A107&lt;=200,Plan!$C$6+(Plan!$C$7-Plan!$C$6)*(A107-100)/100,Plan!$C$7))</f>
        <v>0.1403</v>
      </c>
      <c r="E107" s="25">
        <f>D107*Plan!$C$8</f>
        <v>1403</v>
      </c>
      <c r="F107" s="44">
        <f t="shared" si="3"/>
        <v>102</v>
      </c>
      <c r="G107" s="14">
        <f t="shared" si="4"/>
        <v>0</v>
      </c>
      <c r="H107" s="41">
        <f t="shared" si="1"/>
        <v>1505</v>
      </c>
      <c r="I107" s="40">
        <f t="shared" si="2"/>
        <v>163509</v>
      </c>
      <c r="K107" s="42">
        <f>SUMPRODUCT((B107&gt;=Plan!$C$13:$C$23)*Plan!$D$13:$D$23)</f>
        <v>19000</v>
      </c>
    </row>
    <row r="108" ht="15.75" customHeight="1">
      <c r="A108" s="43">
        <v>104.0</v>
      </c>
      <c r="B108" s="14">
        <f>104*Plan!$C$8</f>
        <v>1040000</v>
      </c>
      <c r="C108" s="43" t="str">
        <f t="array" ref="C108">INDEX(Plan!$B$13:$B$23,MATCH(B108,Plan!$C$13:$C$23,1))</f>
        <v>Vice President</v>
      </c>
      <c r="D108" s="24">
        <f>IF(A108&lt;=100,Plan!$C$5+(Plan!$C$6-Plan!$C$5)*(A108-1)/99,IF(A108&lt;=200,Plan!$C$6+(Plan!$C$7-Plan!$C$6)*(A108-100)/100,Plan!$C$7))</f>
        <v>0.1404</v>
      </c>
      <c r="E108" s="25">
        <f>D108*Plan!$C$8</f>
        <v>1404</v>
      </c>
      <c r="F108" s="44">
        <f t="shared" si="3"/>
        <v>103</v>
      </c>
      <c r="G108" s="14">
        <f t="shared" si="4"/>
        <v>0</v>
      </c>
      <c r="H108" s="41">
        <f t="shared" si="1"/>
        <v>1507</v>
      </c>
      <c r="I108" s="40">
        <f t="shared" si="2"/>
        <v>165016</v>
      </c>
      <c r="K108" s="42">
        <f>SUMPRODUCT((B108&gt;=Plan!$C$13:$C$23)*Plan!$D$13:$D$23)</f>
        <v>19000</v>
      </c>
    </row>
    <row r="109" ht="15.75" customHeight="1">
      <c r="A109" s="43">
        <v>105.0</v>
      </c>
      <c r="B109" s="14">
        <f>105*Plan!$C$8</f>
        <v>1050000</v>
      </c>
      <c r="C109" s="43" t="str">
        <f t="array" ref="C109">INDEX(Plan!$B$13:$B$23,MATCH(B109,Plan!$C$13:$C$23,1))</f>
        <v>Vice President</v>
      </c>
      <c r="D109" s="24">
        <f>IF(A109&lt;=100,Plan!$C$5+(Plan!$C$6-Plan!$C$5)*(A109-1)/99,IF(A109&lt;=200,Plan!$C$6+(Plan!$C$7-Plan!$C$6)*(A109-100)/100,Plan!$C$7))</f>
        <v>0.1405</v>
      </c>
      <c r="E109" s="25">
        <f>D109*Plan!$C$8</f>
        <v>1405</v>
      </c>
      <c r="F109" s="44">
        <f t="shared" si="3"/>
        <v>104</v>
      </c>
      <c r="G109" s="14">
        <f t="shared" si="4"/>
        <v>0</v>
      </c>
      <c r="H109" s="41">
        <f t="shared" si="1"/>
        <v>1509</v>
      </c>
      <c r="I109" s="40">
        <f t="shared" si="2"/>
        <v>166525</v>
      </c>
      <c r="K109" s="42">
        <f>SUMPRODUCT((B109&gt;=Plan!$C$13:$C$23)*Plan!$D$13:$D$23)</f>
        <v>19000</v>
      </c>
    </row>
    <row r="110" ht="15.75" customHeight="1">
      <c r="A110" s="43">
        <v>106.0</v>
      </c>
      <c r="B110" s="14">
        <f>106*Plan!$C$8</f>
        <v>1060000</v>
      </c>
      <c r="C110" s="43" t="str">
        <f t="array" ref="C110">INDEX(Plan!$B$13:$B$23,MATCH(B110,Plan!$C$13:$C$23,1))</f>
        <v>Vice President</v>
      </c>
      <c r="D110" s="24">
        <f>IF(A110&lt;=100,Plan!$C$5+(Plan!$C$6-Plan!$C$5)*(A110-1)/99,IF(A110&lt;=200,Plan!$C$6+(Plan!$C$7-Plan!$C$6)*(A110-100)/100,Plan!$C$7))</f>
        <v>0.1406</v>
      </c>
      <c r="E110" s="25">
        <f>D110*Plan!$C$8</f>
        <v>1406</v>
      </c>
      <c r="F110" s="44">
        <f t="shared" si="3"/>
        <v>105</v>
      </c>
      <c r="G110" s="14">
        <f t="shared" si="4"/>
        <v>0</v>
      </c>
      <c r="H110" s="41">
        <f t="shared" si="1"/>
        <v>1511</v>
      </c>
      <c r="I110" s="40">
        <f t="shared" si="2"/>
        <v>168036</v>
      </c>
      <c r="K110" s="42">
        <f>SUMPRODUCT((B110&gt;=Plan!$C$13:$C$23)*Plan!$D$13:$D$23)</f>
        <v>19000</v>
      </c>
    </row>
    <row r="111" ht="15.75" customHeight="1">
      <c r="A111" s="43">
        <v>107.0</v>
      </c>
      <c r="B111" s="14">
        <f>107*Plan!$C$8</f>
        <v>1070000</v>
      </c>
      <c r="C111" s="43" t="str">
        <f t="array" ref="C111">INDEX(Plan!$B$13:$B$23,MATCH(B111,Plan!$C$13:$C$23,1))</f>
        <v>Vice President</v>
      </c>
      <c r="D111" s="24">
        <f>IF(A111&lt;=100,Plan!$C$5+(Plan!$C$6-Plan!$C$5)*(A111-1)/99,IF(A111&lt;=200,Plan!$C$6+(Plan!$C$7-Plan!$C$6)*(A111-100)/100,Plan!$C$7))</f>
        <v>0.1407</v>
      </c>
      <c r="E111" s="25">
        <f>D111*Plan!$C$8</f>
        <v>1407</v>
      </c>
      <c r="F111" s="44">
        <f t="shared" si="3"/>
        <v>106</v>
      </c>
      <c r="G111" s="14">
        <f t="shared" si="4"/>
        <v>0</v>
      </c>
      <c r="H111" s="41">
        <f t="shared" si="1"/>
        <v>1513</v>
      </c>
      <c r="I111" s="40">
        <f t="shared" si="2"/>
        <v>169549</v>
      </c>
      <c r="K111" s="42">
        <f>SUMPRODUCT((B111&gt;=Plan!$C$13:$C$23)*Plan!$D$13:$D$23)</f>
        <v>19000</v>
      </c>
    </row>
    <row r="112" ht="15.75" customHeight="1">
      <c r="A112" s="43">
        <v>108.0</v>
      </c>
      <c r="B112" s="14">
        <f>108*Plan!$C$8</f>
        <v>1080000</v>
      </c>
      <c r="C112" s="43" t="str">
        <f t="array" ref="C112">INDEX(Plan!$B$13:$B$23,MATCH(B112,Plan!$C$13:$C$23,1))</f>
        <v>Vice President</v>
      </c>
      <c r="D112" s="24">
        <f>IF(A112&lt;=100,Plan!$C$5+(Plan!$C$6-Plan!$C$5)*(A112-1)/99,IF(A112&lt;=200,Plan!$C$6+(Plan!$C$7-Plan!$C$6)*(A112-100)/100,Plan!$C$7))</f>
        <v>0.1408</v>
      </c>
      <c r="E112" s="25">
        <f>D112*Plan!$C$8</f>
        <v>1408</v>
      </c>
      <c r="F112" s="44">
        <f t="shared" si="3"/>
        <v>107</v>
      </c>
      <c r="G112" s="14">
        <f t="shared" si="4"/>
        <v>0</v>
      </c>
      <c r="H112" s="41">
        <f t="shared" si="1"/>
        <v>1515</v>
      </c>
      <c r="I112" s="40">
        <f t="shared" si="2"/>
        <v>171064</v>
      </c>
      <c r="K112" s="42">
        <f>SUMPRODUCT((B112&gt;=Plan!$C$13:$C$23)*Plan!$D$13:$D$23)</f>
        <v>19000</v>
      </c>
    </row>
    <row r="113" ht="15.75" customHeight="1">
      <c r="A113" s="43">
        <v>109.0</v>
      </c>
      <c r="B113" s="14">
        <f>109*Plan!$C$8</f>
        <v>1090000</v>
      </c>
      <c r="C113" s="43" t="str">
        <f t="array" ref="C113">INDEX(Plan!$B$13:$B$23,MATCH(B113,Plan!$C$13:$C$23,1))</f>
        <v>Vice President</v>
      </c>
      <c r="D113" s="24">
        <f>IF(A113&lt;=100,Plan!$C$5+(Plan!$C$6-Plan!$C$5)*(A113-1)/99,IF(A113&lt;=200,Plan!$C$6+(Plan!$C$7-Plan!$C$6)*(A113-100)/100,Plan!$C$7))</f>
        <v>0.1409</v>
      </c>
      <c r="E113" s="25">
        <f>D113*Plan!$C$8</f>
        <v>1409</v>
      </c>
      <c r="F113" s="44">
        <f t="shared" si="3"/>
        <v>108</v>
      </c>
      <c r="G113" s="14">
        <f t="shared" si="4"/>
        <v>0</v>
      </c>
      <c r="H113" s="41">
        <f t="shared" si="1"/>
        <v>1517</v>
      </c>
      <c r="I113" s="40">
        <f t="shared" si="2"/>
        <v>172581</v>
      </c>
      <c r="K113" s="42">
        <f>SUMPRODUCT((B113&gt;=Plan!$C$13:$C$23)*Plan!$D$13:$D$23)</f>
        <v>19000</v>
      </c>
    </row>
    <row r="114" ht="15.75" customHeight="1">
      <c r="A114" s="43">
        <v>110.0</v>
      </c>
      <c r="B114" s="14">
        <f>110*Plan!$C$8</f>
        <v>1100000</v>
      </c>
      <c r="C114" s="43" t="str">
        <f t="array" ref="C114">INDEX(Plan!$B$13:$B$23,MATCH(B114,Plan!$C$13:$C$23,1))</f>
        <v>Vice President</v>
      </c>
      <c r="D114" s="24">
        <f>IF(A114&lt;=100,Plan!$C$5+(Plan!$C$6-Plan!$C$5)*(A114-1)/99,IF(A114&lt;=200,Plan!$C$6+(Plan!$C$7-Plan!$C$6)*(A114-100)/100,Plan!$C$7))</f>
        <v>0.141</v>
      </c>
      <c r="E114" s="25">
        <f>D114*Plan!$C$8</f>
        <v>1410</v>
      </c>
      <c r="F114" s="44">
        <f t="shared" si="3"/>
        <v>109</v>
      </c>
      <c r="G114" s="14">
        <f t="shared" si="4"/>
        <v>0</v>
      </c>
      <c r="H114" s="41">
        <f t="shared" si="1"/>
        <v>1519</v>
      </c>
      <c r="I114" s="40">
        <f t="shared" si="2"/>
        <v>174100</v>
      </c>
      <c r="K114" s="42">
        <f>SUMPRODUCT((B114&gt;=Plan!$C$13:$C$23)*Plan!$D$13:$D$23)</f>
        <v>19000</v>
      </c>
    </row>
    <row r="115" ht="15.75" customHeight="1">
      <c r="A115" s="43">
        <v>111.0</v>
      </c>
      <c r="B115" s="14">
        <f>111*Plan!$C$8</f>
        <v>1110000</v>
      </c>
      <c r="C115" s="43" t="str">
        <f t="array" ref="C115">INDEX(Plan!$B$13:$B$23,MATCH(B115,Plan!$C$13:$C$23,1))</f>
        <v>Vice President</v>
      </c>
      <c r="D115" s="24">
        <f>IF(A115&lt;=100,Plan!$C$5+(Plan!$C$6-Plan!$C$5)*(A115-1)/99,IF(A115&lt;=200,Plan!$C$6+(Plan!$C$7-Plan!$C$6)*(A115-100)/100,Plan!$C$7))</f>
        <v>0.1411</v>
      </c>
      <c r="E115" s="25">
        <f>D115*Plan!$C$8</f>
        <v>1411</v>
      </c>
      <c r="F115" s="44">
        <f t="shared" si="3"/>
        <v>110</v>
      </c>
      <c r="G115" s="14">
        <f t="shared" si="4"/>
        <v>0</v>
      </c>
      <c r="H115" s="41">
        <f t="shared" si="1"/>
        <v>1521</v>
      </c>
      <c r="I115" s="40">
        <f t="shared" si="2"/>
        <v>175621</v>
      </c>
      <c r="K115" s="42">
        <f>SUMPRODUCT((B115&gt;=Plan!$C$13:$C$23)*Plan!$D$13:$D$23)</f>
        <v>19000</v>
      </c>
    </row>
    <row r="116" ht="15.75" customHeight="1">
      <c r="A116" s="43">
        <v>112.0</v>
      </c>
      <c r="B116" s="14">
        <f>112*Plan!$C$8</f>
        <v>1120000</v>
      </c>
      <c r="C116" s="43" t="str">
        <f t="array" ref="C116">INDEX(Plan!$B$13:$B$23,MATCH(B116,Plan!$C$13:$C$23,1))</f>
        <v>Vice President</v>
      </c>
      <c r="D116" s="24">
        <f>IF(A116&lt;=100,Plan!$C$5+(Plan!$C$6-Plan!$C$5)*(A116-1)/99,IF(A116&lt;=200,Plan!$C$6+(Plan!$C$7-Plan!$C$6)*(A116-100)/100,Plan!$C$7))</f>
        <v>0.1412</v>
      </c>
      <c r="E116" s="25">
        <f>D116*Plan!$C$8</f>
        <v>1412</v>
      </c>
      <c r="F116" s="44">
        <f t="shared" si="3"/>
        <v>111</v>
      </c>
      <c r="G116" s="14">
        <f t="shared" si="4"/>
        <v>0</v>
      </c>
      <c r="H116" s="41">
        <f t="shared" si="1"/>
        <v>1523</v>
      </c>
      <c r="I116" s="40">
        <f t="shared" si="2"/>
        <v>177144</v>
      </c>
      <c r="K116" s="42">
        <f>SUMPRODUCT((B116&gt;=Plan!$C$13:$C$23)*Plan!$D$13:$D$23)</f>
        <v>19000</v>
      </c>
    </row>
    <row r="117" ht="15.75" customHeight="1">
      <c r="A117" s="43">
        <v>113.0</v>
      </c>
      <c r="B117" s="14">
        <f>113*Plan!$C$8</f>
        <v>1130000</v>
      </c>
      <c r="C117" s="43" t="str">
        <f t="array" ref="C117">INDEX(Plan!$B$13:$B$23,MATCH(B117,Plan!$C$13:$C$23,1))</f>
        <v>Vice President</v>
      </c>
      <c r="D117" s="24">
        <f>IF(A117&lt;=100,Plan!$C$5+(Plan!$C$6-Plan!$C$5)*(A117-1)/99,IF(A117&lt;=200,Plan!$C$6+(Plan!$C$7-Plan!$C$6)*(A117-100)/100,Plan!$C$7))</f>
        <v>0.1413</v>
      </c>
      <c r="E117" s="25">
        <f>D117*Plan!$C$8</f>
        <v>1413</v>
      </c>
      <c r="F117" s="44">
        <f t="shared" si="3"/>
        <v>112</v>
      </c>
      <c r="G117" s="14">
        <f t="shared" si="4"/>
        <v>0</v>
      </c>
      <c r="H117" s="41">
        <f t="shared" si="1"/>
        <v>1525</v>
      </c>
      <c r="I117" s="40">
        <f t="shared" si="2"/>
        <v>178669</v>
      </c>
      <c r="K117" s="42">
        <f>SUMPRODUCT((B117&gt;=Plan!$C$13:$C$23)*Plan!$D$13:$D$23)</f>
        <v>19000</v>
      </c>
    </row>
    <row r="118" ht="15.75" customHeight="1">
      <c r="A118" s="43">
        <v>114.0</v>
      </c>
      <c r="B118" s="14">
        <f>114*Plan!$C$8</f>
        <v>1140000</v>
      </c>
      <c r="C118" s="43" t="str">
        <f t="array" ref="C118">INDEX(Plan!$B$13:$B$23,MATCH(B118,Plan!$C$13:$C$23,1))</f>
        <v>Vice President</v>
      </c>
      <c r="D118" s="24">
        <f>IF(A118&lt;=100,Plan!$C$5+(Plan!$C$6-Plan!$C$5)*(A118-1)/99,IF(A118&lt;=200,Plan!$C$6+(Plan!$C$7-Plan!$C$6)*(A118-100)/100,Plan!$C$7))</f>
        <v>0.1414</v>
      </c>
      <c r="E118" s="25">
        <f>D118*Plan!$C$8</f>
        <v>1414</v>
      </c>
      <c r="F118" s="44">
        <f t="shared" si="3"/>
        <v>113</v>
      </c>
      <c r="G118" s="14">
        <f t="shared" si="4"/>
        <v>0</v>
      </c>
      <c r="H118" s="41">
        <f t="shared" si="1"/>
        <v>1527</v>
      </c>
      <c r="I118" s="40">
        <f t="shared" si="2"/>
        <v>180196</v>
      </c>
      <c r="K118" s="42">
        <f>SUMPRODUCT((B118&gt;=Plan!$C$13:$C$23)*Plan!$D$13:$D$23)</f>
        <v>19000</v>
      </c>
    </row>
    <row r="119" ht="15.75" customHeight="1">
      <c r="A119" s="43">
        <v>115.0</v>
      </c>
      <c r="B119" s="14">
        <f>115*Plan!$C$8</f>
        <v>1150000</v>
      </c>
      <c r="C119" s="43" t="str">
        <f t="array" ref="C119">INDEX(Plan!$B$13:$B$23,MATCH(B119,Plan!$C$13:$C$23,1))</f>
        <v>Vice President</v>
      </c>
      <c r="D119" s="24">
        <f>IF(A119&lt;=100,Plan!$C$5+(Plan!$C$6-Plan!$C$5)*(A119-1)/99,IF(A119&lt;=200,Plan!$C$6+(Plan!$C$7-Plan!$C$6)*(A119-100)/100,Plan!$C$7))</f>
        <v>0.1415</v>
      </c>
      <c r="E119" s="25">
        <f>D119*Plan!$C$8</f>
        <v>1415</v>
      </c>
      <c r="F119" s="44">
        <f t="shared" si="3"/>
        <v>114</v>
      </c>
      <c r="G119" s="14">
        <f t="shared" si="4"/>
        <v>0</v>
      </c>
      <c r="H119" s="41">
        <f t="shared" si="1"/>
        <v>1529</v>
      </c>
      <c r="I119" s="40">
        <f t="shared" si="2"/>
        <v>181725</v>
      </c>
      <c r="K119" s="42">
        <f>SUMPRODUCT((B119&gt;=Plan!$C$13:$C$23)*Plan!$D$13:$D$23)</f>
        <v>19000</v>
      </c>
    </row>
    <row r="120" ht="15.75" customHeight="1">
      <c r="A120" s="43">
        <v>116.0</v>
      </c>
      <c r="B120" s="14">
        <f>116*Plan!$C$8</f>
        <v>1160000</v>
      </c>
      <c r="C120" s="43" t="str">
        <f t="array" ref="C120">INDEX(Plan!$B$13:$B$23,MATCH(B120,Plan!$C$13:$C$23,1))</f>
        <v>Vice President</v>
      </c>
      <c r="D120" s="24">
        <f>IF(A120&lt;=100,Plan!$C$5+(Plan!$C$6-Plan!$C$5)*(A120-1)/99,IF(A120&lt;=200,Plan!$C$6+(Plan!$C$7-Plan!$C$6)*(A120-100)/100,Plan!$C$7))</f>
        <v>0.1416</v>
      </c>
      <c r="E120" s="25">
        <f>D120*Plan!$C$8</f>
        <v>1416</v>
      </c>
      <c r="F120" s="44">
        <f t="shared" si="3"/>
        <v>115</v>
      </c>
      <c r="G120" s="14">
        <f t="shared" si="4"/>
        <v>0</v>
      </c>
      <c r="H120" s="41">
        <f t="shared" si="1"/>
        <v>1531</v>
      </c>
      <c r="I120" s="40">
        <f t="shared" si="2"/>
        <v>183256</v>
      </c>
      <c r="K120" s="42">
        <f>SUMPRODUCT((B120&gt;=Plan!$C$13:$C$23)*Plan!$D$13:$D$23)</f>
        <v>19000</v>
      </c>
    </row>
    <row r="121" ht="15.75" customHeight="1">
      <c r="A121" s="43">
        <v>117.0</v>
      </c>
      <c r="B121" s="14">
        <f>117*Plan!$C$8</f>
        <v>1170000</v>
      </c>
      <c r="C121" s="43" t="str">
        <f t="array" ref="C121">INDEX(Plan!$B$13:$B$23,MATCH(B121,Plan!$C$13:$C$23,1))</f>
        <v>Vice President</v>
      </c>
      <c r="D121" s="24">
        <f>IF(A121&lt;=100,Plan!$C$5+(Plan!$C$6-Plan!$C$5)*(A121-1)/99,IF(A121&lt;=200,Plan!$C$6+(Plan!$C$7-Plan!$C$6)*(A121-100)/100,Plan!$C$7))</f>
        <v>0.1417</v>
      </c>
      <c r="E121" s="25">
        <f>D121*Plan!$C$8</f>
        <v>1417</v>
      </c>
      <c r="F121" s="44">
        <f t="shared" si="3"/>
        <v>116</v>
      </c>
      <c r="G121" s="14">
        <f t="shared" si="4"/>
        <v>0</v>
      </c>
      <c r="H121" s="41">
        <f t="shared" si="1"/>
        <v>1533</v>
      </c>
      <c r="I121" s="40">
        <f t="shared" si="2"/>
        <v>184789</v>
      </c>
      <c r="K121" s="42">
        <f>SUMPRODUCT((B121&gt;=Plan!$C$13:$C$23)*Plan!$D$13:$D$23)</f>
        <v>19000</v>
      </c>
    </row>
    <row r="122" ht="15.75" customHeight="1">
      <c r="A122" s="43">
        <v>118.0</v>
      </c>
      <c r="B122" s="14">
        <f>118*Plan!$C$8</f>
        <v>1180000</v>
      </c>
      <c r="C122" s="43" t="str">
        <f t="array" ref="C122">INDEX(Plan!$B$13:$B$23,MATCH(B122,Plan!$C$13:$C$23,1))</f>
        <v>Vice President</v>
      </c>
      <c r="D122" s="24">
        <f>IF(A122&lt;=100,Plan!$C$5+(Plan!$C$6-Plan!$C$5)*(A122-1)/99,IF(A122&lt;=200,Plan!$C$6+(Plan!$C$7-Plan!$C$6)*(A122-100)/100,Plan!$C$7))</f>
        <v>0.1418</v>
      </c>
      <c r="E122" s="25">
        <f>D122*Plan!$C$8</f>
        <v>1418</v>
      </c>
      <c r="F122" s="44">
        <f t="shared" si="3"/>
        <v>117</v>
      </c>
      <c r="G122" s="14">
        <f t="shared" si="4"/>
        <v>0</v>
      </c>
      <c r="H122" s="41">
        <f t="shared" si="1"/>
        <v>1535</v>
      </c>
      <c r="I122" s="40">
        <f t="shared" si="2"/>
        <v>186324</v>
      </c>
      <c r="K122" s="42">
        <f>SUMPRODUCT((B122&gt;=Plan!$C$13:$C$23)*Plan!$D$13:$D$23)</f>
        <v>19000</v>
      </c>
    </row>
    <row r="123" ht="15.75" customHeight="1">
      <c r="A123" s="43">
        <v>119.0</v>
      </c>
      <c r="B123" s="14">
        <f>119*Plan!$C$8</f>
        <v>1190000</v>
      </c>
      <c r="C123" s="43" t="str">
        <f t="array" ref="C123">INDEX(Plan!$B$13:$B$23,MATCH(B123,Plan!$C$13:$C$23,1))</f>
        <v>Vice President</v>
      </c>
      <c r="D123" s="24">
        <f>IF(A123&lt;=100,Plan!$C$5+(Plan!$C$6-Plan!$C$5)*(A123-1)/99,IF(A123&lt;=200,Plan!$C$6+(Plan!$C$7-Plan!$C$6)*(A123-100)/100,Plan!$C$7))</f>
        <v>0.1419</v>
      </c>
      <c r="E123" s="25">
        <f>D123*Plan!$C$8</f>
        <v>1419</v>
      </c>
      <c r="F123" s="44">
        <f t="shared" si="3"/>
        <v>118</v>
      </c>
      <c r="G123" s="14">
        <f t="shared" si="4"/>
        <v>0</v>
      </c>
      <c r="H123" s="41">
        <f t="shared" si="1"/>
        <v>1537</v>
      </c>
      <c r="I123" s="40">
        <f t="shared" si="2"/>
        <v>187861</v>
      </c>
      <c r="K123" s="42">
        <f>SUMPRODUCT((B123&gt;=Plan!$C$13:$C$23)*Plan!$D$13:$D$23)</f>
        <v>19000</v>
      </c>
    </row>
    <row r="124" ht="15.75" customHeight="1">
      <c r="A124" s="43">
        <v>120.0</v>
      </c>
      <c r="B124" s="14">
        <f>120*Plan!$C$8</f>
        <v>1200000</v>
      </c>
      <c r="C124" s="43" t="str">
        <f t="array" ref="C124">INDEX(Plan!$B$13:$B$23,MATCH(B124,Plan!$C$13:$C$23,1))</f>
        <v>Vice President</v>
      </c>
      <c r="D124" s="24">
        <f>IF(A124&lt;=100,Plan!$C$5+(Plan!$C$6-Plan!$C$5)*(A124-1)/99,IF(A124&lt;=200,Plan!$C$6+(Plan!$C$7-Plan!$C$6)*(A124-100)/100,Plan!$C$7))</f>
        <v>0.142</v>
      </c>
      <c r="E124" s="25">
        <f>D124*Plan!$C$8</f>
        <v>1420</v>
      </c>
      <c r="F124" s="44">
        <f t="shared" si="3"/>
        <v>119</v>
      </c>
      <c r="G124" s="14">
        <f t="shared" si="4"/>
        <v>0</v>
      </c>
      <c r="H124" s="41">
        <f t="shared" si="1"/>
        <v>1539</v>
      </c>
      <c r="I124" s="40">
        <f t="shared" si="2"/>
        <v>189400</v>
      </c>
      <c r="K124" s="42">
        <f>SUMPRODUCT((B124&gt;=Plan!$C$13:$C$23)*Plan!$D$13:$D$23)</f>
        <v>19000</v>
      </c>
    </row>
    <row r="125" ht="15.75" customHeight="1">
      <c r="A125" s="43">
        <v>121.0</v>
      </c>
      <c r="B125" s="14">
        <f>121*Plan!$C$8</f>
        <v>1210000</v>
      </c>
      <c r="C125" s="43" t="str">
        <f t="array" ref="C125">INDEX(Plan!$B$13:$B$23,MATCH(B125,Plan!$C$13:$C$23,1))</f>
        <v>Vice President</v>
      </c>
      <c r="D125" s="24">
        <f>IF(A125&lt;=100,Plan!$C$5+(Plan!$C$6-Plan!$C$5)*(A125-1)/99,IF(A125&lt;=200,Plan!$C$6+(Plan!$C$7-Plan!$C$6)*(A125-100)/100,Plan!$C$7))</f>
        <v>0.1421</v>
      </c>
      <c r="E125" s="25">
        <f>D125*Plan!$C$8</f>
        <v>1421</v>
      </c>
      <c r="F125" s="44">
        <f t="shared" si="3"/>
        <v>120</v>
      </c>
      <c r="G125" s="14">
        <f t="shared" si="4"/>
        <v>0</v>
      </c>
      <c r="H125" s="41">
        <f t="shared" si="1"/>
        <v>1541</v>
      </c>
      <c r="I125" s="40">
        <f t="shared" si="2"/>
        <v>190941</v>
      </c>
      <c r="K125" s="42">
        <f>SUMPRODUCT((B125&gt;=Plan!$C$13:$C$23)*Plan!$D$13:$D$23)</f>
        <v>19000</v>
      </c>
    </row>
    <row r="126" ht="15.75" customHeight="1">
      <c r="A126" s="43">
        <v>122.0</v>
      </c>
      <c r="B126" s="14">
        <f>122*Plan!$C$8</f>
        <v>1220000</v>
      </c>
      <c r="C126" s="43" t="str">
        <f t="array" ref="C126">INDEX(Plan!$B$13:$B$23,MATCH(B126,Plan!$C$13:$C$23,1))</f>
        <v>Vice President</v>
      </c>
      <c r="D126" s="24">
        <f>IF(A126&lt;=100,Plan!$C$5+(Plan!$C$6-Plan!$C$5)*(A126-1)/99,IF(A126&lt;=200,Plan!$C$6+(Plan!$C$7-Plan!$C$6)*(A126-100)/100,Plan!$C$7))</f>
        <v>0.1422</v>
      </c>
      <c r="E126" s="25">
        <f>D126*Plan!$C$8</f>
        <v>1422</v>
      </c>
      <c r="F126" s="44">
        <f t="shared" si="3"/>
        <v>121</v>
      </c>
      <c r="G126" s="14">
        <f t="shared" si="4"/>
        <v>0</v>
      </c>
      <c r="H126" s="41">
        <f t="shared" si="1"/>
        <v>1543</v>
      </c>
      <c r="I126" s="40">
        <f t="shared" si="2"/>
        <v>192484</v>
      </c>
      <c r="K126" s="42">
        <f>SUMPRODUCT((B126&gt;=Plan!$C$13:$C$23)*Plan!$D$13:$D$23)</f>
        <v>19000</v>
      </c>
    </row>
    <row r="127" ht="15.75" customHeight="1">
      <c r="A127" s="43">
        <v>123.0</v>
      </c>
      <c r="B127" s="14">
        <f>123*Plan!$C$8</f>
        <v>1230000</v>
      </c>
      <c r="C127" s="43" t="str">
        <f t="array" ref="C127">INDEX(Plan!$B$13:$B$23,MATCH(B127,Plan!$C$13:$C$23,1))</f>
        <v>Vice President</v>
      </c>
      <c r="D127" s="24">
        <f>IF(A127&lt;=100,Plan!$C$5+(Plan!$C$6-Plan!$C$5)*(A127-1)/99,IF(A127&lt;=200,Plan!$C$6+(Plan!$C$7-Plan!$C$6)*(A127-100)/100,Plan!$C$7))</f>
        <v>0.1423</v>
      </c>
      <c r="E127" s="25">
        <f>D127*Plan!$C$8</f>
        <v>1423</v>
      </c>
      <c r="F127" s="44">
        <f t="shared" si="3"/>
        <v>122</v>
      </c>
      <c r="G127" s="14">
        <f t="shared" si="4"/>
        <v>0</v>
      </c>
      <c r="H127" s="41">
        <f t="shared" si="1"/>
        <v>1545</v>
      </c>
      <c r="I127" s="40">
        <f t="shared" si="2"/>
        <v>194029</v>
      </c>
      <c r="K127" s="42">
        <f>SUMPRODUCT((B127&gt;=Plan!$C$13:$C$23)*Plan!$D$13:$D$23)</f>
        <v>19000</v>
      </c>
    </row>
    <row r="128" ht="15.75" customHeight="1">
      <c r="A128" s="43">
        <v>124.0</v>
      </c>
      <c r="B128" s="14">
        <f>124*Plan!$C$8</f>
        <v>1240000</v>
      </c>
      <c r="C128" s="43" t="str">
        <f t="array" ref="C128">INDEX(Plan!$B$13:$B$23,MATCH(B128,Plan!$C$13:$C$23,1))</f>
        <v>Vice President</v>
      </c>
      <c r="D128" s="24">
        <f>IF(A128&lt;=100,Plan!$C$5+(Plan!$C$6-Plan!$C$5)*(A128-1)/99,IF(A128&lt;=200,Plan!$C$6+(Plan!$C$7-Plan!$C$6)*(A128-100)/100,Plan!$C$7))</f>
        <v>0.1424</v>
      </c>
      <c r="E128" s="25">
        <f>D128*Plan!$C$8</f>
        <v>1424</v>
      </c>
      <c r="F128" s="44">
        <f t="shared" si="3"/>
        <v>123</v>
      </c>
      <c r="G128" s="14">
        <f t="shared" si="4"/>
        <v>0</v>
      </c>
      <c r="H128" s="41">
        <f t="shared" si="1"/>
        <v>1547</v>
      </c>
      <c r="I128" s="40">
        <f t="shared" si="2"/>
        <v>195576</v>
      </c>
      <c r="K128" s="42">
        <f>SUMPRODUCT((B128&gt;=Plan!$C$13:$C$23)*Plan!$D$13:$D$23)</f>
        <v>19000</v>
      </c>
    </row>
    <row r="129" ht="15.75" customHeight="1">
      <c r="A129" s="43">
        <v>125.0</v>
      </c>
      <c r="B129" s="14">
        <f>125*Plan!$C$8</f>
        <v>1250000</v>
      </c>
      <c r="C129" s="43" t="str">
        <f t="array" ref="C129">INDEX(Plan!$B$13:$B$23,MATCH(B129,Plan!$C$13:$C$23,1))</f>
        <v>President's Circle</v>
      </c>
      <c r="D129" s="24">
        <f>IF(A129&lt;=100,Plan!$C$5+(Plan!$C$6-Plan!$C$5)*(A129-1)/99,IF(A129&lt;=200,Plan!$C$6+(Plan!$C$7-Plan!$C$6)*(A129-100)/100,Plan!$C$7))</f>
        <v>0.1425</v>
      </c>
      <c r="E129" s="25">
        <f>D129*Plan!$C$8</f>
        <v>1425</v>
      </c>
      <c r="F129" s="44">
        <f t="shared" si="3"/>
        <v>124</v>
      </c>
      <c r="G129" s="14">
        <f t="shared" si="4"/>
        <v>7500</v>
      </c>
      <c r="H129" s="41">
        <f t="shared" si="1"/>
        <v>9049</v>
      </c>
      <c r="I129" s="40">
        <f t="shared" si="2"/>
        <v>204625</v>
      </c>
      <c r="K129" s="42">
        <f>SUMPRODUCT((B129&gt;=Plan!$C$13:$C$23)*Plan!$D$13:$D$23)</f>
        <v>26500</v>
      </c>
    </row>
    <row r="130" ht="15.75" customHeight="1">
      <c r="A130" s="43">
        <v>126.0</v>
      </c>
      <c r="B130" s="14">
        <f>126*Plan!$C$8</f>
        <v>1260000</v>
      </c>
      <c r="C130" s="43" t="str">
        <f t="array" ref="C130">INDEX(Plan!$B$13:$B$23,MATCH(B130,Plan!$C$13:$C$23,1))</f>
        <v>President's Circle</v>
      </c>
      <c r="D130" s="24">
        <f>IF(A130&lt;=100,Plan!$C$5+(Plan!$C$6-Plan!$C$5)*(A130-1)/99,IF(A130&lt;=200,Plan!$C$6+(Plan!$C$7-Plan!$C$6)*(A130-100)/100,Plan!$C$7))</f>
        <v>0.1426</v>
      </c>
      <c r="E130" s="25">
        <f>D130*Plan!$C$8</f>
        <v>1426</v>
      </c>
      <c r="F130" s="44">
        <f t="shared" si="3"/>
        <v>125</v>
      </c>
      <c r="G130" s="14">
        <f t="shared" si="4"/>
        <v>0</v>
      </c>
      <c r="H130" s="41">
        <f t="shared" si="1"/>
        <v>1551</v>
      </c>
      <c r="I130" s="40">
        <f t="shared" si="2"/>
        <v>206176</v>
      </c>
      <c r="K130" s="42">
        <f>SUMPRODUCT((B130&gt;=Plan!$C$13:$C$23)*Plan!$D$13:$D$23)</f>
        <v>26500</v>
      </c>
    </row>
    <row r="131" ht="15.75" customHeight="1">
      <c r="A131" s="43">
        <v>127.0</v>
      </c>
      <c r="B131" s="14">
        <f>127*Plan!$C$8</f>
        <v>1270000</v>
      </c>
      <c r="C131" s="43" t="str">
        <f t="array" ref="C131">INDEX(Plan!$B$13:$B$23,MATCH(B131,Plan!$C$13:$C$23,1))</f>
        <v>President's Circle</v>
      </c>
      <c r="D131" s="24">
        <f>IF(A131&lt;=100,Plan!$C$5+(Plan!$C$6-Plan!$C$5)*(A131-1)/99,IF(A131&lt;=200,Plan!$C$6+(Plan!$C$7-Plan!$C$6)*(A131-100)/100,Plan!$C$7))</f>
        <v>0.1427</v>
      </c>
      <c r="E131" s="25">
        <f>D131*Plan!$C$8</f>
        <v>1427</v>
      </c>
      <c r="F131" s="44">
        <f t="shared" si="3"/>
        <v>126</v>
      </c>
      <c r="G131" s="14">
        <f t="shared" si="4"/>
        <v>0</v>
      </c>
      <c r="H131" s="41">
        <f t="shared" si="1"/>
        <v>1553</v>
      </c>
      <c r="I131" s="40">
        <f t="shared" si="2"/>
        <v>207729</v>
      </c>
      <c r="K131" s="42">
        <f>SUMPRODUCT((B131&gt;=Plan!$C$13:$C$23)*Plan!$D$13:$D$23)</f>
        <v>26500</v>
      </c>
    </row>
    <row r="132" ht="15.75" customHeight="1">
      <c r="A132" s="43">
        <v>128.0</v>
      </c>
      <c r="B132" s="14">
        <f>128*Plan!$C$8</f>
        <v>1280000</v>
      </c>
      <c r="C132" s="43" t="str">
        <f t="array" ref="C132">INDEX(Plan!$B$13:$B$23,MATCH(B132,Plan!$C$13:$C$23,1))</f>
        <v>President's Circle</v>
      </c>
      <c r="D132" s="24">
        <f>IF(A132&lt;=100,Plan!$C$5+(Plan!$C$6-Plan!$C$5)*(A132-1)/99,IF(A132&lt;=200,Plan!$C$6+(Plan!$C$7-Plan!$C$6)*(A132-100)/100,Plan!$C$7))</f>
        <v>0.1428</v>
      </c>
      <c r="E132" s="25">
        <f>D132*Plan!$C$8</f>
        <v>1428</v>
      </c>
      <c r="F132" s="44">
        <f t="shared" si="3"/>
        <v>127</v>
      </c>
      <c r="G132" s="14">
        <f t="shared" si="4"/>
        <v>0</v>
      </c>
      <c r="H132" s="41">
        <f t="shared" si="1"/>
        <v>1555</v>
      </c>
      <c r="I132" s="40">
        <f t="shared" si="2"/>
        <v>209284</v>
      </c>
      <c r="K132" s="42">
        <f>SUMPRODUCT((B132&gt;=Plan!$C$13:$C$23)*Plan!$D$13:$D$23)</f>
        <v>26500</v>
      </c>
    </row>
    <row r="133" ht="15.75" customHeight="1">
      <c r="A133" s="43">
        <v>129.0</v>
      </c>
      <c r="B133" s="14">
        <f>129*Plan!$C$8</f>
        <v>1290000</v>
      </c>
      <c r="C133" s="43" t="str">
        <f t="array" ref="C133">INDEX(Plan!$B$13:$B$23,MATCH(B133,Plan!$C$13:$C$23,1))</f>
        <v>President's Circle</v>
      </c>
      <c r="D133" s="24">
        <f>IF(A133&lt;=100,Plan!$C$5+(Plan!$C$6-Plan!$C$5)*(A133-1)/99,IF(A133&lt;=200,Plan!$C$6+(Plan!$C$7-Plan!$C$6)*(A133-100)/100,Plan!$C$7))</f>
        <v>0.1429</v>
      </c>
      <c r="E133" s="25">
        <f>D133*Plan!$C$8</f>
        <v>1429</v>
      </c>
      <c r="F133" s="44">
        <f t="shared" si="3"/>
        <v>128</v>
      </c>
      <c r="G133" s="14">
        <f t="shared" si="4"/>
        <v>0</v>
      </c>
      <c r="H133" s="41">
        <f t="shared" si="1"/>
        <v>1557</v>
      </c>
      <c r="I133" s="40">
        <f t="shared" si="2"/>
        <v>210841</v>
      </c>
      <c r="K133" s="42">
        <f>SUMPRODUCT((B133&gt;=Plan!$C$13:$C$23)*Plan!$D$13:$D$23)</f>
        <v>26500</v>
      </c>
    </row>
    <row r="134" ht="15.75" customHeight="1">
      <c r="A134" s="43">
        <v>130.0</v>
      </c>
      <c r="B134" s="14">
        <f>130*Plan!$C$8</f>
        <v>1300000</v>
      </c>
      <c r="C134" s="43" t="str">
        <f t="array" ref="C134">INDEX(Plan!$B$13:$B$23,MATCH(B134,Plan!$C$13:$C$23,1))</f>
        <v>President's Circle</v>
      </c>
      <c r="D134" s="24">
        <f>IF(A134&lt;=100,Plan!$C$5+(Plan!$C$6-Plan!$C$5)*(A134-1)/99,IF(A134&lt;=200,Plan!$C$6+(Plan!$C$7-Plan!$C$6)*(A134-100)/100,Plan!$C$7))</f>
        <v>0.143</v>
      </c>
      <c r="E134" s="25">
        <f>D134*Plan!$C$8</f>
        <v>1430</v>
      </c>
      <c r="F134" s="44">
        <f t="shared" si="3"/>
        <v>129</v>
      </c>
      <c r="G134" s="14">
        <f t="shared" si="4"/>
        <v>0</v>
      </c>
      <c r="H134" s="41">
        <f t="shared" si="1"/>
        <v>1559</v>
      </c>
      <c r="I134" s="40">
        <f t="shared" si="2"/>
        <v>212400</v>
      </c>
      <c r="K134" s="42">
        <f>SUMPRODUCT((B134&gt;=Plan!$C$13:$C$23)*Plan!$D$13:$D$23)</f>
        <v>26500</v>
      </c>
    </row>
    <row r="135" ht="15.75" customHeight="1">
      <c r="A135" s="43">
        <v>131.0</v>
      </c>
      <c r="B135" s="14">
        <f>131*Plan!$C$8</f>
        <v>1310000</v>
      </c>
      <c r="C135" s="43" t="str">
        <f t="array" ref="C135">INDEX(Plan!$B$13:$B$23,MATCH(B135,Plan!$C$13:$C$23,1))</f>
        <v>President's Circle</v>
      </c>
      <c r="D135" s="24">
        <f>IF(A135&lt;=100,Plan!$C$5+(Plan!$C$6-Plan!$C$5)*(A135-1)/99,IF(A135&lt;=200,Plan!$C$6+(Plan!$C$7-Plan!$C$6)*(A135-100)/100,Plan!$C$7))</f>
        <v>0.1431</v>
      </c>
      <c r="E135" s="25">
        <f>D135*Plan!$C$8</f>
        <v>1431</v>
      </c>
      <c r="F135" s="44">
        <f t="shared" si="3"/>
        <v>130</v>
      </c>
      <c r="G135" s="14">
        <f t="shared" si="4"/>
        <v>0</v>
      </c>
      <c r="H135" s="41">
        <f t="shared" si="1"/>
        <v>1561</v>
      </c>
      <c r="I135" s="40">
        <f t="shared" si="2"/>
        <v>213961</v>
      </c>
      <c r="K135" s="42">
        <f>SUMPRODUCT((B135&gt;=Plan!$C$13:$C$23)*Plan!$D$13:$D$23)</f>
        <v>26500</v>
      </c>
    </row>
    <row r="136" ht="15.75" customHeight="1">
      <c r="A136" s="43">
        <v>132.0</v>
      </c>
      <c r="B136" s="14">
        <f>132*Plan!$C$8</f>
        <v>1320000</v>
      </c>
      <c r="C136" s="43" t="str">
        <f t="array" ref="C136">INDEX(Plan!$B$13:$B$23,MATCH(B136,Plan!$C$13:$C$23,1))</f>
        <v>President's Circle</v>
      </c>
      <c r="D136" s="24">
        <f>IF(A136&lt;=100,Plan!$C$5+(Plan!$C$6-Plan!$C$5)*(A136-1)/99,IF(A136&lt;=200,Plan!$C$6+(Plan!$C$7-Plan!$C$6)*(A136-100)/100,Plan!$C$7))</f>
        <v>0.1432</v>
      </c>
      <c r="E136" s="25">
        <f>D136*Plan!$C$8</f>
        <v>1432</v>
      </c>
      <c r="F136" s="44">
        <f t="shared" si="3"/>
        <v>131</v>
      </c>
      <c r="G136" s="14">
        <f t="shared" si="4"/>
        <v>0</v>
      </c>
      <c r="H136" s="41">
        <f t="shared" si="1"/>
        <v>1563</v>
      </c>
      <c r="I136" s="40">
        <f t="shared" si="2"/>
        <v>215524</v>
      </c>
      <c r="K136" s="42">
        <f>SUMPRODUCT((B136&gt;=Plan!$C$13:$C$23)*Plan!$D$13:$D$23)</f>
        <v>26500</v>
      </c>
    </row>
    <row r="137" ht="15.75" customHeight="1">
      <c r="A137" s="43">
        <v>133.0</v>
      </c>
      <c r="B137" s="14">
        <f>133*Plan!$C$8</f>
        <v>1330000</v>
      </c>
      <c r="C137" s="43" t="str">
        <f t="array" ref="C137">INDEX(Plan!$B$13:$B$23,MATCH(B137,Plan!$C$13:$C$23,1))</f>
        <v>President's Circle</v>
      </c>
      <c r="D137" s="24">
        <f>IF(A137&lt;=100,Plan!$C$5+(Plan!$C$6-Plan!$C$5)*(A137-1)/99,IF(A137&lt;=200,Plan!$C$6+(Plan!$C$7-Plan!$C$6)*(A137-100)/100,Plan!$C$7))</f>
        <v>0.1433</v>
      </c>
      <c r="E137" s="25">
        <f>D137*Plan!$C$8</f>
        <v>1433</v>
      </c>
      <c r="F137" s="44">
        <f t="shared" si="3"/>
        <v>132</v>
      </c>
      <c r="G137" s="14">
        <f t="shared" si="4"/>
        <v>0</v>
      </c>
      <c r="H137" s="41">
        <f t="shared" si="1"/>
        <v>1565</v>
      </c>
      <c r="I137" s="40">
        <f t="shared" si="2"/>
        <v>217089</v>
      </c>
      <c r="K137" s="42">
        <f>SUMPRODUCT((B137&gt;=Plan!$C$13:$C$23)*Plan!$D$13:$D$23)</f>
        <v>26500</v>
      </c>
    </row>
    <row r="138" ht="15.75" customHeight="1">
      <c r="A138" s="43">
        <v>134.0</v>
      </c>
      <c r="B138" s="14">
        <f>134*Plan!$C$8</f>
        <v>1340000</v>
      </c>
      <c r="C138" s="43" t="str">
        <f t="array" ref="C138">INDEX(Plan!$B$13:$B$23,MATCH(B138,Plan!$C$13:$C$23,1))</f>
        <v>President's Circle</v>
      </c>
      <c r="D138" s="24">
        <f>IF(A138&lt;=100,Plan!$C$5+(Plan!$C$6-Plan!$C$5)*(A138-1)/99,IF(A138&lt;=200,Plan!$C$6+(Plan!$C$7-Plan!$C$6)*(A138-100)/100,Plan!$C$7))</f>
        <v>0.1434</v>
      </c>
      <c r="E138" s="25">
        <f>D138*Plan!$C$8</f>
        <v>1434</v>
      </c>
      <c r="F138" s="44">
        <f t="shared" si="3"/>
        <v>133</v>
      </c>
      <c r="G138" s="14">
        <f t="shared" si="4"/>
        <v>0</v>
      </c>
      <c r="H138" s="41">
        <f t="shared" si="1"/>
        <v>1567</v>
      </c>
      <c r="I138" s="40">
        <f t="shared" si="2"/>
        <v>218656</v>
      </c>
      <c r="K138" s="42">
        <f>SUMPRODUCT((B138&gt;=Plan!$C$13:$C$23)*Plan!$D$13:$D$23)</f>
        <v>26500</v>
      </c>
    </row>
    <row r="139" ht="15.75" customHeight="1">
      <c r="A139" s="43">
        <v>135.0</v>
      </c>
      <c r="B139" s="14">
        <f>135*Plan!$C$8</f>
        <v>1350000</v>
      </c>
      <c r="C139" s="43" t="str">
        <f t="array" ref="C139">INDEX(Plan!$B$13:$B$23,MATCH(B139,Plan!$C$13:$C$23,1))</f>
        <v>President's Circle</v>
      </c>
      <c r="D139" s="24">
        <f>IF(A139&lt;=100,Plan!$C$5+(Plan!$C$6-Plan!$C$5)*(A139-1)/99,IF(A139&lt;=200,Plan!$C$6+(Plan!$C$7-Plan!$C$6)*(A139-100)/100,Plan!$C$7))</f>
        <v>0.1435</v>
      </c>
      <c r="E139" s="25">
        <f>D139*Plan!$C$8</f>
        <v>1435</v>
      </c>
      <c r="F139" s="44">
        <f t="shared" si="3"/>
        <v>134</v>
      </c>
      <c r="G139" s="14">
        <f t="shared" si="4"/>
        <v>0</v>
      </c>
      <c r="H139" s="41">
        <f t="shared" si="1"/>
        <v>1569</v>
      </c>
      <c r="I139" s="40">
        <f t="shared" si="2"/>
        <v>220225</v>
      </c>
      <c r="K139" s="42">
        <f>SUMPRODUCT((B139&gt;=Plan!$C$13:$C$23)*Plan!$D$13:$D$23)</f>
        <v>26500</v>
      </c>
    </row>
    <row r="140" ht="15.75" customHeight="1">
      <c r="A140" s="43">
        <v>136.0</v>
      </c>
      <c r="B140" s="14">
        <f>136*Plan!$C$8</f>
        <v>1360000</v>
      </c>
      <c r="C140" s="43" t="str">
        <f t="array" ref="C140">INDEX(Plan!$B$13:$B$23,MATCH(B140,Plan!$C$13:$C$23,1))</f>
        <v>President's Circle</v>
      </c>
      <c r="D140" s="24">
        <f>IF(A140&lt;=100,Plan!$C$5+(Plan!$C$6-Plan!$C$5)*(A140-1)/99,IF(A140&lt;=200,Plan!$C$6+(Plan!$C$7-Plan!$C$6)*(A140-100)/100,Plan!$C$7))</f>
        <v>0.1436</v>
      </c>
      <c r="E140" s="25">
        <f>D140*Plan!$C$8</f>
        <v>1436</v>
      </c>
      <c r="F140" s="44">
        <f t="shared" si="3"/>
        <v>135</v>
      </c>
      <c r="G140" s="14">
        <f t="shared" si="4"/>
        <v>0</v>
      </c>
      <c r="H140" s="41">
        <f t="shared" si="1"/>
        <v>1571</v>
      </c>
      <c r="I140" s="40">
        <f t="shared" si="2"/>
        <v>221796</v>
      </c>
      <c r="K140" s="42">
        <f>SUMPRODUCT((B140&gt;=Plan!$C$13:$C$23)*Plan!$D$13:$D$23)</f>
        <v>26500</v>
      </c>
    </row>
    <row r="141" ht="15.75" customHeight="1">
      <c r="A141" s="43">
        <v>137.0</v>
      </c>
      <c r="B141" s="14">
        <f>137*Plan!$C$8</f>
        <v>1370000</v>
      </c>
      <c r="C141" s="43" t="str">
        <f t="array" ref="C141">INDEX(Plan!$B$13:$B$23,MATCH(B141,Plan!$C$13:$C$23,1))</f>
        <v>President's Circle</v>
      </c>
      <c r="D141" s="24">
        <f>IF(A141&lt;=100,Plan!$C$5+(Plan!$C$6-Plan!$C$5)*(A141-1)/99,IF(A141&lt;=200,Plan!$C$6+(Plan!$C$7-Plan!$C$6)*(A141-100)/100,Plan!$C$7))</f>
        <v>0.1437</v>
      </c>
      <c r="E141" s="25">
        <f>D141*Plan!$C$8</f>
        <v>1437</v>
      </c>
      <c r="F141" s="44">
        <f t="shared" si="3"/>
        <v>136</v>
      </c>
      <c r="G141" s="14">
        <f t="shared" si="4"/>
        <v>0</v>
      </c>
      <c r="H141" s="41">
        <f t="shared" si="1"/>
        <v>1573</v>
      </c>
      <c r="I141" s="40">
        <f t="shared" si="2"/>
        <v>223369</v>
      </c>
      <c r="K141" s="42">
        <f>SUMPRODUCT((B141&gt;=Plan!$C$13:$C$23)*Plan!$D$13:$D$23)</f>
        <v>26500</v>
      </c>
    </row>
    <row r="142" ht="15.75" customHeight="1">
      <c r="A142" s="43">
        <v>138.0</v>
      </c>
      <c r="B142" s="14">
        <f>138*Plan!$C$8</f>
        <v>1380000</v>
      </c>
      <c r="C142" s="43" t="str">
        <f t="array" ref="C142">INDEX(Plan!$B$13:$B$23,MATCH(B142,Plan!$C$13:$C$23,1))</f>
        <v>President's Circle</v>
      </c>
      <c r="D142" s="24">
        <f>IF(A142&lt;=100,Plan!$C$5+(Plan!$C$6-Plan!$C$5)*(A142-1)/99,IF(A142&lt;=200,Plan!$C$6+(Plan!$C$7-Plan!$C$6)*(A142-100)/100,Plan!$C$7))</f>
        <v>0.1438</v>
      </c>
      <c r="E142" s="25">
        <f>D142*Plan!$C$8</f>
        <v>1438</v>
      </c>
      <c r="F142" s="44">
        <f t="shared" si="3"/>
        <v>137</v>
      </c>
      <c r="G142" s="14">
        <f t="shared" si="4"/>
        <v>0</v>
      </c>
      <c r="H142" s="41">
        <f t="shared" si="1"/>
        <v>1575</v>
      </c>
      <c r="I142" s="40">
        <f t="shared" si="2"/>
        <v>224944</v>
      </c>
      <c r="K142" s="42">
        <f>SUMPRODUCT((B142&gt;=Plan!$C$13:$C$23)*Plan!$D$13:$D$23)</f>
        <v>26500</v>
      </c>
    </row>
    <row r="143" ht="15.75" customHeight="1">
      <c r="A143" s="43">
        <v>139.0</v>
      </c>
      <c r="B143" s="14">
        <f>139*Plan!$C$8</f>
        <v>1390000</v>
      </c>
      <c r="C143" s="43" t="str">
        <f t="array" ref="C143">INDEX(Plan!$B$13:$B$23,MATCH(B143,Plan!$C$13:$C$23,1))</f>
        <v>President's Circle</v>
      </c>
      <c r="D143" s="24">
        <f>IF(A143&lt;=100,Plan!$C$5+(Plan!$C$6-Plan!$C$5)*(A143-1)/99,IF(A143&lt;=200,Plan!$C$6+(Plan!$C$7-Plan!$C$6)*(A143-100)/100,Plan!$C$7))</f>
        <v>0.1439</v>
      </c>
      <c r="E143" s="25">
        <f>D143*Plan!$C$8</f>
        <v>1439</v>
      </c>
      <c r="F143" s="44">
        <f t="shared" si="3"/>
        <v>138</v>
      </c>
      <c r="G143" s="14">
        <f t="shared" si="4"/>
        <v>0</v>
      </c>
      <c r="H143" s="41">
        <f t="shared" si="1"/>
        <v>1577</v>
      </c>
      <c r="I143" s="40">
        <f t="shared" si="2"/>
        <v>226521</v>
      </c>
      <c r="K143" s="42">
        <f>SUMPRODUCT((B143&gt;=Plan!$C$13:$C$23)*Plan!$D$13:$D$23)</f>
        <v>26500</v>
      </c>
    </row>
    <row r="144" ht="15.75" customHeight="1">
      <c r="A144" s="43">
        <v>140.0</v>
      </c>
      <c r="B144" s="14">
        <f>140*Plan!$C$8</f>
        <v>1400000</v>
      </c>
      <c r="C144" s="43" t="str">
        <f t="array" ref="C144">INDEX(Plan!$B$13:$B$23,MATCH(B144,Plan!$C$13:$C$23,1))</f>
        <v>President's Circle</v>
      </c>
      <c r="D144" s="24">
        <f>IF(A144&lt;=100,Plan!$C$5+(Plan!$C$6-Plan!$C$5)*(A144-1)/99,IF(A144&lt;=200,Plan!$C$6+(Plan!$C$7-Plan!$C$6)*(A144-100)/100,Plan!$C$7))</f>
        <v>0.144</v>
      </c>
      <c r="E144" s="25">
        <f>D144*Plan!$C$8</f>
        <v>1440</v>
      </c>
      <c r="F144" s="44">
        <f t="shared" si="3"/>
        <v>139</v>
      </c>
      <c r="G144" s="14">
        <f t="shared" si="4"/>
        <v>0</v>
      </c>
      <c r="H144" s="41">
        <f t="shared" si="1"/>
        <v>1579</v>
      </c>
      <c r="I144" s="40">
        <f t="shared" si="2"/>
        <v>228100</v>
      </c>
      <c r="K144" s="42">
        <f>SUMPRODUCT((B144&gt;=Plan!$C$13:$C$23)*Plan!$D$13:$D$23)</f>
        <v>26500</v>
      </c>
    </row>
    <row r="145" ht="15.75" customHeight="1">
      <c r="A145" s="43">
        <v>141.0</v>
      </c>
      <c r="B145" s="14">
        <f>141*Plan!$C$8</f>
        <v>1410000</v>
      </c>
      <c r="C145" s="43" t="str">
        <f t="array" ref="C145">INDEX(Plan!$B$13:$B$23,MATCH(B145,Plan!$C$13:$C$23,1))</f>
        <v>President's Circle</v>
      </c>
      <c r="D145" s="24">
        <f>IF(A145&lt;=100,Plan!$C$5+(Plan!$C$6-Plan!$C$5)*(A145-1)/99,IF(A145&lt;=200,Plan!$C$6+(Plan!$C$7-Plan!$C$6)*(A145-100)/100,Plan!$C$7))</f>
        <v>0.1441</v>
      </c>
      <c r="E145" s="25">
        <f>D145*Plan!$C$8</f>
        <v>1441</v>
      </c>
      <c r="F145" s="44">
        <f t="shared" si="3"/>
        <v>140</v>
      </c>
      <c r="G145" s="14">
        <f t="shared" si="4"/>
        <v>0</v>
      </c>
      <c r="H145" s="41">
        <f t="shared" si="1"/>
        <v>1581</v>
      </c>
      <c r="I145" s="40">
        <f t="shared" si="2"/>
        <v>229681</v>
      </c>
      <c r="K145" s="42">
        <f>SUMPRODUCT((B145&gt;=Plan!$C$13:$C$23)*Plan!$D$13:$D$23)</f>
        <v>26500</v>
      </c>
    </row>
    <row r="146" ht="15.75" customHeight="1">
      <c r="A146" s="43">
        <v>142.0</v>
      </c>
      <c r="B146" s="14">
        <f>142*Plan!$C$8</f>
        <v>1420000</v>
      </c>
      <c r="C146" s="43" t="str">
        <f t="array" ref="C146">INDEX(Plan!$B$13:$B$23,MATCH(B146,Plan!$C$13:$C$23,1))</f>
        <v>President's Circle</v>
      </c>
      <c r="D146" s="24">
        <f>IF(A146&lt;=100,Plan!$C$5+(Plan!$C$6-Plan!$C$5)*(A146-1)/99,IF(A146&lt;=200,Plan!$C$6+(Plan!$C$7-Plan!$C$6)*(A146-100)/100,Plan!$C$7))</f>
        <v>0.1442</v>
      </c>
      <c r="E146" s="25">
        <f>D146*Plan!$C$8</f>
        <v>1442</v>
      </c>
      <c r="F146" s="44">
        <f t="shared" si="3"/>
        <v>141</v>
      </c>
      <c r="G146" s="14">
        <f t="shared" si="4"/>
        <v>0</v>
      </c>
      <c r="H146" s="41">
        <f t="shared" si="1"/>
        <v>1583</v>
      </c>
      <c r="I146" s="40">
        <f t="shared" si="2"/>
        <v>231264</v>
      </c>
      <c r="K146" s="42">
        <f>SUMPRODUCT((B146&gt;=Plan!$C$13:$C$23)*Plan!$D$13:$D$23)</f>
        <v>26500</v>
      </c>
    </row>
    <row r="147" ht="15.75" customHeight="1">
      <c r="A147" s="43">
        <v>143.0</v>
      </c>
      <c r="B147" s="14">
        <f>143*Plan!$C$8</f>
        <v>1430000</v>
      </c>
      <c r="C147" s="43" t="str">
        <f t="array" ref="C147">INDEX(Plan!$B$13:$B$23,MATCH(B147,Plan!$C$13:$C$23,1))</f>
        <v>President's Circle</v>
      </c>
      <c r="D147" s="24">
        <f>IF(A147&lt;=100,Plan!$C$5+(Plan!$C$6-Plan!$C$5)*(A147-1)/99,IF(A147&lt;=200,Plan!$C$6+(Plan!$C$7-Plan!$C$6)*(A147-100)/100,Plan!$C$7))</f>
        <v>0.1443</v>
      </c>
      <c r="E147" s="25">
        <f>D147*Plan!$C$8</f>
        <v>1443</v>
      </c>
      <c r="F147" s="44">
        <f t="shared" si="3"/>
        <v>142</v>
      </c>
      <c r="G147" s="14">
        <f t="shared" si="4"/>
        <v>0</v>
      </c>
      <c r="H147" s="41">
        <f t="shared" si="1"/>
        <v>1585</v>
      </c>
      <c r="I147" s="40">
        <f t="shared" si="2"/>
        <v>232849</v>
      </c>
      <c r="K147" s="42">
        <f>SUMPRODUCT((B147&gt;=Plan!$C$13:$C$23)*Plan!$D$13:$D$23)</f>
        <v>26500</v>
      </c>
    </row>
    <row r="148" ht="15.75" customHeight="1">
      <c r="A148" s="43">
        <v>144.0</v>
      </c>
      <c r="B148" s="14">
        <f>144*Plan!$C$8</f>
        <v>1440000</v>
      </c>
      <c r="C148" s="43" t="str">
        <f t="array" ref="C148">INDEX(Plan!$B$13:$B$23,MATCH(B148,Plan!$C$13:$C$23,1))</f>
        <v>President's Circle</v>
      </c>
      <c r="D148" s="24">
        <f>IF(A148&lt;=100,Plan!$C$5+(Plan!$C$6-Plan!$C$5)*(A148-1)/99,IF(A148&lt;=200,Plan!$C$6+(Plan!$C$7-Plan!$C$6)*(A148-100)/100,Plan!$C$7))</f>
        <v>0.1444</v>
      </c>
      <c r="E148" s="25">
        <f>D148*Plan!$C$8</f>
        <v>1444</v>
      </c>
      <c r="F148" s="44">
        <f t="shared" si="3"/>
        <v>143</v>
      </c>
      <c r="G148" s="14">
        <f t="shared" si="4"/>
        <v>0</v>
      </c>
      <c r="H148" s="41">
        <f t="shared" si="1"/>
        <v>1587</v>
      </c>
      <c r="I148" s="40">
        <f t="shared" si="2"/>
        <v>234436</v>
      </c>
      <c r="K148" s="42">
        <f>SUMPRODUCT((B148&gt;=Plan!$C$13:$C$23)*Plan!$D$13:$D$23)</f>
        <v>26500</v>
      </c>
    </row>
    <row r="149" ht="15.75" customHeight="1">
      <c r="A149" s="43">
        <v>145.0</v>
      </c>
      <c r="B149" s="14">
        <f>145*Plan!$C$8</f>
        <v>1450000</v>
      </c>
      <c r="C149" s="43" t="str">
        <f t="array" ref="C149">INDEX(Plan!$B$13:$B$23,MATCH(B149,Plan!$C$13:$C$23,1))</f>
        <v>President's Circle</v>
      </c>
      <c r="D149" s="24">
        <f>IF(A149&lt;=100,Plan!$C$5+(Plan!$C$6-Plan!$C$5)*(A149-1)/99,IF(A149&lt;=200,Plan!$C$6+(Plan!$C$7-Plan!$C$6)*(A149-100)/100,Plan!$C$7))</f>
        <v>0.1445</v>
      </c>
      <c r="E149" s="25">
        <f>D149*Plan!$C$8</f>
        <v>1445</v>
      </c>
      <c r="F149" s="44">
        <f t="shared" si="3"/>
        <v>144</v>
      </c>
      <c r="G149" s="14">
        <f t="shared" si="4"/>
        <v>0</v>
      </c>
      <c r="H149" s="41">
        <f t="shared" si="1"/>
        <v>1589</v>
      </c>
      <c r="I149" s="40">
        <f t="shared" si="2"/>
        <v>236025</v>
      </c>
      <c r="K149" s="42">
        <f>SUMPRODUCT((B149&gt;=Plan!$C$13:$C$23)*Plan!$D$13:$D$23)</f>
        <v>26500</v>
      </c>
    </row>
    <row r="150" ht="15.75" customHeight="1">
      <c r="A150" s="43">
        <v>146.0</v>
      </c>
      <c r="B150" s="14">
        <f>146*Plan!$C$8</f>
        <v>1460000</v>
      </c>
      <c r="C150" s="43" t="str">
        <f t="array" ref="C150">INDEX(Plan!$B$13:$B$23,MATCH(B150,Plan!$C$13:$C$23,1))</f>
        <v>President's Circle</v>
      </c>
      <c r="D150" s="24">
        <f>IF(A150&lt;=100,Plan!$C$5+(Plan!$C$6-Plan!$C$5)*(A150-1)/99,IF(A150&lt;=200,Plan!$C$6+(Plan!$C$7-Plan!$C$6)*(A150-100)/100,Plan!$C$7))</f>
        <v>0.1446</v>
      </c>
      <c r="E150" s="25">
        <f>D150*Plan!$C$8</f>
        <v>1446</v>
      </c>
      <c r="F150" s="44">
        <f t="shared" si="3"/>
        <v>145</v>
      </c>
      <c r="G150" s="14">
        <f t="shared" si="4"/>
        <v>0</v>
      </c>
      <c r="H150" s="41">
        <f t="shared" si="1"/>
        <v>1591</v>
      </c>
      <c r="I150" s="40">
        <f t="shared" si="2"/>
        <v>237616</v>
      </c>
      <c r="K150" s="42">
        <f>SUMPRODUCT((B150&gt;=Plan!$C$13:$C$23)*Plan!$D$13:$D$23)</f>
        <v>26500</v>
      </c>
    </row>
    <row r="151" ht="15.75" customHeight="1">
      <c r="A151" s="43">
        <v>147.0</v>
      </c>
      <c r="B151" s="14">
        <f>147*Plan!$C$8</f>
        <v>1470000</v>
      </c>
      <c r="C151" s="43" t="str">
        <f t="array" ref="C151">INDEX(Plan!$B$13:$B$23,MATCH(B151,Plan!$C$13:$C$23,1))</f>
        <v>President's Circle</v>
      </c>
      <c r="D151" s="24">
        <f>IF(A151&lt;=100,Plan!$C$5+(Plan!$C$6-Plan!$C$5)*(A151-1)/99,IF(A151&lt;=200,Plan!$C$6+(Plan!$C$7-Plan!$C$6)*(A151-100)/100,Plan!$C$7))</f>
        <v>0.1447</v>
      </c>
      <c r="E151" s="25">
        <f>D151*Plan!$C$8</f>
        <v>1447</v>
      </c>
      <c r="F151" s="44">
        <f t="shared" si="3"/>
        <v>146</v>
      </c>
      <c r="G151" s="14">
        <f t="shared" si="4"/>
        <v>0</v>
      </c>
      <c r="H151" s="41">
        <f t="shared" si="1"/>
        <v>1593</v>
      </c>
      <c r="I151" s="40">
        <f t="shared" si="2"/>
        <v>239209</v>
      </c>
      <c r="K151" s="42">
        <f>SUMPRODUCT((B151&gt;=Plan!$C$13:$C$23)*Plan!$D$13:$D$23)</f>
        <v>26500</v>
      </c>
    </row>
    <row r="152" ht="15.75" customHeight="1">
      <c r="A152" s="43">
        <v>148.0</v>
      </c>
      <c r="B152" s="14">
        <f>148*Plan!$C$8</f>
        <v>1480000</v>
      </c>
      <c r="C152" s="43" t="str">
        <f t="array" ref="C152">INDEX(Plan!$B$13:$B$23,MATCH(B152,Plan!$C$13:$C$23,1))</f>
        <v>President's Circle</v>
      </c>
      <c r="D152" s="24">
        <f>IF(A152&lt;=100,Plan!$C$5+(Plan!$C$6-Plan!$C$5)*(A152-1)/99,IF(A152&lt;=200,Plan!$C$6+(Plan!$C$7-Plan!$C$6)*(A152-100)/100,Plan!$C$7))</f>
        <v>0.1448</v>
      </c>
      <c r="E152" s="25">
        <f>D152*Plan!$C$8</f>
        <v>1448</v>
      </c>
      <c r="F152" s="44">
        <f t="shared" si="3"/>
        <v>147</v>
      </c>
      <c r="G152" s="14">
        <f t="shared" si="4"/>
        <v>0</v>
      </c>
      <c r="H152" s="41">
        <f t="shared" si="1"/>
        <v>1595</v>
      </c>
      <c r="I152" s="40">
        <f t="shared" si="2"/>
        <v>240804</v>
      </c>
      <c r="K152" s="42">
        <f>SUMPRODUCT((B152&gt;=Plan!$C$13:$C$23)*Plan!$D$13:$D$23)</f>
        <v>26500</v>
      </c>
    </row>
    <row r="153" ht="15.75" customHeight="1">
      <c r="A153" s="43">
        <v>149.0</v>
      </c>
      <c r="B153" s="14">
        <f>149*Plan!$C$8</f>
        <v>1490000</v>
      </c>
      <c r="C153" s="43" t="str">
        <f t="array" ref="C153">INDEX(Plan!$B$13:$B$23,MATCH(B153,Plan!$C$13:$C$23,1))</f>
        <v>President's Circle</v>
      </c>
      <c r="D153" s="24">
        <f>IF(A153&lt;=100,Plan!$C$5+(Plan!$C$6-Plan!$C$5)*(A153-1)/99,IF(A153&lt;=200,Plan!$C$6+(Plan!$C$7-Plan!$C$6)*(A153-100)/100,Plan!$C$7))</f>
        <v>0.1449</v>
      </c>
      <c r="E153" s="25">
        <f>D153*Plan!$C$8</f>
        <v>1449</v>
      </c>
      <c r="F153" s="44">
        <f t="shared" si="3"/>
        <v>148</v>
      </c>
      <c r="G153" s="14">
        <f t="shared" si="4"/>
        <v>0</v>
      </c>
      <c r="H153" s="41">
        <f t="shared" si="1"/>
        <v>1597</v>
      </c>
      <c r="I153" s="40">
        <f t="shared" si="2"/>
        <v>242401</v>
      </c>
      <c r="K153" s="42">
        <f>SUMPRODUCT((B153&gt;=Plan!$C$13:$C$23)*Plan!$D$13:$D$23)</f>
        <v>26500</v>
      </c>
    </row>
    <row r="154" ht="15.75" customHeight="1">
      <c r="A154" s="43">
        <v>150.0</v>
      </c>
      <c r="B154" s="14">
        <f>150*Plan!$C$8</f>
        <v>1500000</v>
      </c>
      <c r="C154" s="43" t="str">
        <f t="array" ref="C154">INDEX(Plan!$B$13:$B$23,MATCH(B154,Plan!$C$13:$C$23,1))</f>
        <v>President's Circle</v>
      </c>
      <c r="D154" s="24">
        <f>IF(A154&lt;=100,Plan!$C$5+(Plan!$C$6-Plan!$C$5)*(A154-1)/99,IF(A154&lt;=200,Plan!$C$6+(Plan!$C$7-Plan!$C$6)*(A154-100)/100,Plan!$C$7))</f>
        <v>0.145</v>
      </c>
      <c r="E154" s="25">
        <f>D154*Plan!$C$8</f>
        <v>1450</v>
      </c>
      <c r="F154" s="44">
        <f t="shared" si="3"/>
        <v>149</v>
      </c>
      <c r="G154" s="14">
        <f t="shared" si="4"/>
        <v>0</v>
      </c>
      <c r="H154" s="41">
        <f t="shared" si="1"/>
        <v>1599</v>
      </c>
      <c r="I154" s="40">
        <f t="shared" si="2"/>
        <v>244000</v>
      </c>
      <c r="K154" s="42">
        <f>SUMPRODUCT((B154&gt;=Plan!$C$13:$C$23)*Plan!$D$13:$D$23)</f>
        <v>26500</v>
      </c>
    </row>
    <row r="155" ht="15.75" customHeight="1">
      <c r="A155" s="43">
        <v>151.0</v>
      </c>
      <c r="B155" s="14">
        <f>151*Plan!$C$8</f>
        <v>1510000</v>
      </c>
      <c r="C155" s="43" t="str">
        <f t="array" ref="C155">INDEX(Plan!$B$13:$B$23,MATCH(B155,Plan!$C$13:$C$23,1))</f>
        <v>President's Circle</v>
      </c>
      <c r="D155" s="24">
        <f>IF(A155&lt;=100,Plan!$C$5+(Plan!$C$6-Plan!$C$5)*(A155-1)/99,IF(A155&lt;=200,Plan!$C$6+(Plan!$C$7-Plan!$C$6)*(A155-100)/100,Plan!$C$7))</f>
        <v>0.1451</v>
      </c>
      <c r="E155" s="25">
        <f>D155*Plan!$C$8</f>
        <v>1451</v>
      </c>
      <c r="F155" s="44">
        <f t="shared" si="3"/>
        <v>150</v>
      </c>
      <c r="G155" s="14">
        <f t="shared" si="4"/>
        <v>0</v>
      </c>
      <c r="H155" s="41">
        <f t="shared" si="1"/>
        <v>1601</v>
      </c>
      <c r="I155" s="40">
        <f t="shared" si="2"/>
        <v>245601</v>
      </c>
      <c r="K155" s="42">
        <f>SUMPRODUCT((B155&gt;=Plan!$C$13:$C$23)*Plan!$D$13:$D$23)</f>
        <v>26500</v>
      </c>
    </row>
    <row r="156" ht="15.75" customHeight="1">
      <c r="A156" s="43">
        <v>152.0</v>
      </c>
      <c r="B156" s="14">
        <f>152*Plan!$C$8</f>
        <v>1520000</v>
      </c>
      <c r="C156" s="43" t="str">
        <f t="array" ref="C156">INDEX(Plan!$B$13:$B$23,MATCH(B156,Plan!$C$13:$C$23,1))</f>
        <v>President's Circle</v>
      </c>
      <c r="D156" s="24">
        <f>IF(A156&lt;=100,Plan!$C$5+(Plan!$C$6-Plan!$C$5)*(A156-1)/99,IF(A156&lt;=200,Plan!$C$6+(Plan!$C$7-Plan!$C$6)*(A156-100)/100,Plan!$C$7))</f>
        <v>0.1452</v>
      </c>
      <c r="E156" s="25">
        <f>D156*Plan!$C$8</f>
        <v>1452</v>
      </c>
      <c r="F156" s="44">
        <f t="shared" si="3"/>
        <v>151</v>
      </c>
      <c r="G156" s="14">
        <f t="shared" si="4"/>
        <v>0</v>
      </c>
      <c r="H156" s="41">
        <f t="shared" si="1"/>
        <v>1603</v>
      </c>
      <c r="I156" s="40">
        <f t="shared" si="2"/>
        <v>247204</v>
      </c>
      <c r="K156" s="42">
        <f>SUMPRODUCT((B156&gt;=Plan!$C$13:$C$23)*Plan!$D$13:$D$23)</f>
        <v>26500</v>
      </c>
    </row>
    <row r="157" ht="15.75" customHeight="1">
      <c r="A157" s="43">
        <v>153.0</v>
      </c>
      <c r="B157" s="14">
        <f>153*Plan!$C$8</f>
        <v>1530000</v>
      </c>
      <c r="C157" s="43" t="str">
        <f t="array" ref="C157">INDEX(Plan!$B$13:$B$23,MATCH(B157,Plan!$C$13:$C$23,1))</f>
        <v>President's Circle</v>
      </c>
      <c r="D157" s="24">
        <f>IF(A157&lt;=100,Plan!$C$5+(Plan!$C$6-Plan!$C$5)*(A157-1)/99,IF(A157&lt;=200,Plan!$C$6+(Plan!$C$7-Plan!$C$6)*(A157-100)/100,Plan!$C$7))</f>
        <v>0.1453</v>
      </c>
      <c r="E157" s="25">
        <f>D157*Plan!$C$8</f>
        <v>1453</v>
      </c>
      <c r="F157" s="44">
        <f t="shared" si="3"/>
        <v>152</v>
      </c>
      <c r="G157" s="14">
        <f t="shared" si="4"/>
        <v>0</v>
      </c>
      <c r="H157" s="41">
        <f t="shared" si="1"/>
        <v>1605</v>
      </c>
      <c r="I157" s="40">
        <f t="shared" si="2"/>
        <v>248809</v>
      </c>
      <c r="K157" s="42">
        <f>SUMPRODUCT((B157&gt;=Plan!$C$13:$C$23)*Plan!$D$13:$D$23)</f>
        <v>26500</v>
      </c>
    </row>
    <row r="158" ht="15.75" customHeight="1">
      <c r="A158" s="43">
        <v>154.0</v>
      </c>
      <c r="B158" s="14">
        <f>154*Plan!$C$8</f>
        <v>1540000</v>
      </c>
      <c r="C158" s="43" t="str">
        <f t="array" ref="C158">INDEX(Plan!$B$13:$B$23,MATCH(B158,Plan!$C$13:$C$23,1))</f>
        <v>President's Circle</v>
      </c>
      <c r="D158" s="24">
        <f>IF(A158&lt;=100,Plan!$C$5+(Plan!$C$6-Plan!$C$5)*(A158-1)/99,IF(A158&lt;=200,Plan!$C$6+(Plan!$C$7-Plan!$C$6)*(A158-100)/100,Plan!$C$7))</f>
        <v>0.1454</v>
      </c>
      <c r="E158" s="25">
        <f>D158*Plan!$C$8</f>
        <v>1454</v>
      </c>
      <c r="F158" s="44">
        <f t="shared" si="3"/>
        <v>153</v>
      </c>
      <c r="G158" s="14">
        <f t="shared" si="4"/>
        <v>0</v>
      </c>
      <c r="H158" s="41">
        <f t="shared" si="1"/>
        <v>1607</v>
      </c>
      <c r="I158" s="40">
        <f t="shared" si="2"/>
        <v>250416</v>
      </c>
      <c r="K158" s="42">
        <f>SUMPRODUCT((B158&gt;=Plan!$C$13:$C$23)*Plan!$D$13:$D$23)</f>
        <v>26500</v>
      </c>
    </row>
    <row r="159" ht="15.75" customHeight="1">
      <c r="A159" s="43">
        <v>155.0</v>
      </c>
      <c r="B159" s="14">
        <f>155*Plan!$C$8</f>
        <v>1550000</v>
      </c>
      <c r="C159" s="43" t="str">
        <f t="array" ref="C159">INDEX(Plan!$B$13:$B$23,MATCH(B159,Plan!$C$13:$C$23,1))</f>
        <v>President's Circle</v>
      </c>
      <c r="D159" s="24">
        <f>IF(A159&lt;=100,Plan!$C$5+(Plan!$C$6-Plan!$C$5)*(A159-1)/99,IF(A159&lt;=200,Plan!$C$6+(Plan!$C$7-Plan!$C$6)*(A159-100)/100,Plan!$C$7))</f>
        <v>0.1455</v>
      </c>
      <c r="E159" s="25">
        <f>D159*Plan!$C$8</f>
        <v>1455</v>
      </c>
      <c r="F159" s="44">
        <f t="shared" si="3"/>
        <v>154</v>
      </c>
      <c r="G159" s="14">
        <f t="shared" si="4"/>
        <v>0</v>
      </c>
      <c r="H159" s="41">
        <f t="shared" si="1"/>
        <v>1609</v>
      </c>
      <c r="I159" s="40">
        <f t="shared" si="2"/>
        <v>252025</v>
      </c>
      <c r="K159" s="42">
        <f>SUMPRODUCT((B159&gt;=Plan!$C$13:$C$23)*Plan!$D$13:$D$23)</f>
        <v>26500</v>
      </c>
    </row>
    <row r="160" ht="15.75" customHeight="1">
      <c r="A160" s="43">
        <v>156.0</v>
      </c>
      <c r="B160" s="14">
        <f>156*Plan!$C$8</f>
        <v>1560000</v>
      </c>
      <c r="C160" s="43" t="str">
        <f t="array" ref="C160">INDEX(Plan!$B$13:$B$23,MATCH(B160,Plan!$C$13:$C$23,1))</f>
        <v>President's Circle</v>
      </c>
      <c r="D160" s="24">
        <f>IF(A160&lt;=100,Plan!$C$5+(Plan!$C$6-Plan!$C$5)*(A160-1)/99,IF(A160&lt;=200,Plan!$C$6+(Plan!$C$7-Plan!$C$6)*(A160-100)/100,Plan!$C$7))</f>
        <v>0.1456</v>
      </c>
      <c r="E160" s="25">
        <f>D160*Plan!$C$8</f>
        <v>1456</v>
      </c>
      <c r="F160" s="44">
        <f t="shared" si="3"/>
        <v>155</v>
      </c>
      <c r="G160" s="14">
        <f t="shared" si="4"/>
        <v>0</v>
      </c>
      <c r="H160" s="41">
        <f t="shared" si="1"/>
        <v>1611</v>
      </c>
      <c r="I160" s="40">
        <f t="shared" si="2"/>
        <v>253636</v>
      </c>
      <c r="K160" s="42">
        <f>SUMPRODUCT((B160&gt;=Plan!$C$13:$C$23)*Plan!$D$13:$D$23)</f>
        <v>26500</v>
      </c>
    </row>
    <row r="161" ht="15.75" customHeight="1">
      <c r="A161" s="43">
        <v>157.0</v>
      </c>
      <c r="B161" s="14">
        <f>157*Plan!$C$8</f>
        <v>1570000</v>
      </c>
      <c r="C161" s="43" t="str">
        <f t="array" ref="C161">INDEX(Plan!$B$13:$B$23,MATCH(B161,Plan!$C$13:$C$23,1))</f>
        <v>President's Circle</v>
      </c>
      <c r="D161" s="24">
        <f>IF(A161&lt;=100,Plan!$C$5+(Plan!$C$6-Plan!$C$5)*(A161-1)/99,IF(A161&lt;=200,Plan!$C$6+(Plan!$C$7-Plan!$C$6)*(A161-100)/100,Plan!$C$7))</f>
        <v>0.1457</v>
      </c>
      <c r="E161" s="25">
        <f>D161*Plan!$C$8</f>
        <v>1457</v>
      </c>
      <c r="F161" s="44">
        <f t="shared" si="3"/>
        <v>156</v>
      </c>
      <c r="G161" s="14">
        <f t="shared" si="4"/>
        <v>0</v>
      </c>
      <c r="H161" s="41">
        <f t="shared" si="1"/>
        <v>1613</v>
      </c>
      <c r="I161" s="40">
        <f t="shared" si="2"/>
        <v>255249</v>
      </c>
      <c r="K161" s="42">
        <f>SUMPRODUCT((B161&gt;=Plan!$C$13:$C$23)*Plan!$D$13:$D$23)</f>
        <v>26500</v>
      </c>
    </row>
    <row r="162" ht="15.75" customHeight="1">
      <c r="A162" s="43">
        <v>158.0</v>
      </c>
      <c r="B162" s="14">
        <f>158*Plan!$C$8</f>
        <v>1580000</v>
      </c>
      <c r="C162" s="43" t="str">
        <f t="array" ref="C162">INDEX(Plan!$B$13:$B$23,MATCH(B162,Plan!$C$13:$C$23,1))</f>
        <v>President's Circle</v>
      </c>
      <c r="D162" s="24">
        <f>IF(A162&lt;=100,Plan!$C$5+(Plan!$C$6-Plan!$C$5)*(A162-1)/99,IF(A162&lt;=200,Plan!$C$6+(Plan!$C$7-Plan!$C$6)*(A162-100)/100,Plan!$C$7))</f>
        <v>0.1458</v>
      </c>
      <c r="E162" s="25">
        <f>D162*Plan!$C$8</f>
        <v>1458</v>
      </c>
      <c r="F162" s="44">
        <f t="shared" si="3"/>
        <v>157</v>
      </c>
      <c r="G162" s="14">
        <f t="shared" si="4"/>
        <v>0</v>
      </c>
      <c r="H162" s="41">
        <f t="shared" si="1"/>
        <v>1615</v>
      </c>
      <c r="I162" s="40">
        <f t="shared" si="2"/>
        <v>256864</v>
      </c>
      <c r="K162" s="42">
        <f>SUMPRODUCT((B162&gt;=Plan!$C$13:$C$23)*Plan!$D$13:$D$23)</f>
        <v>26500</v>
      </c>
    </row>
    <row r="163" ht="15.75" customHeight="1">
      <c r="A163" s="43">
        <v>159.0</v>
      </c>
      <c r="B163" s="14">
        <f>159*Plan!$C$8</f>
        <v>1590000</v>
      </c>
      <c r="C163" s="43" t="str">
        <f t="array" ref="C163">INDEX(Plan!$B$13:$B$23,MATCH(B163,Plan!$C$13:$C$23,1))</f>
        <v>President's Circle</v>
      </c>
      <c r="D163" s="24">
        <f>IF(A163&lt;=100,Plan!$C$5+(Plan!$C$6-Plan!$C$5)*(A163-1)/99,IF(A163&lt;=200,Plan!$C$6+(Plan!$C$7-Plan!$C$6)*(A163-100)/100,Plan!$C$7))</f>
        <v>0.1459</v>
      </c>
      <c r="E163" s="25">
        <f>D163*Plan!$C$8</f>
        <v>1459</v>
      </c>
      <c r="F163" s="44">
        <f t="shared" si="3"/>
        <v>158</v>
      </c>
      <c r="G163" s="14">
        <f t="shared" si="4"/>
        <v>0</v>
      </c>
      <c r="H163" s="41">
        <f t="shared" si="1"/>
        <v>1617</v>
      </c>
      <c r="I163" s="40">
        <f t="shared" si="2"/>
        <v>258481</v>
      </c>
      <c r="K163" s="42">
        <f>SUMPRODUCT((B163&gt;=Plan!$C$13:$C$23)*Plan!$D$13:$D$23)</f>
        <v>26500</v>
      </c>
    </row>
    <row r="164" ht="15.75" customHeight="1">
      <c r="A164" s="43">
        <v>160.0</v>
      </c>
      <c r="B164" s="14">
        <f>160*Plan!$C$8</f>
        <v>1600000</v>
      </c>
      <c r="C164" s="43" t="str">
        <f t="array" ref="C164">INDEX(Plan!$B$13:$B$23,MATCH(B164,Plan!$C$13:$C$23,1))</f>
        <v>Chairman's Circle</v>
      </c>
      <c r="D164" s="24">
        <f>IF(A164&lt;=100,Plan!$C$5+(Plan!$C$6-Plan!$C$5)*(A164-1)/99,IF(A164&lt;=200,Plan!$C$6+(Plan!$C$7-Plan!$C$6)*(A164-100)/100,Plan!$C$7))</f>
        <v>0.146</v>
      </c>
      <c r="E164" s="25">
        <f>D164*Plan!$C$8</f>
        <v>1460</v>
      </c>
      <c r="F164" s="44">
        <f t="shared" si="3"/>
        <v>159</v>
      </c>
      <c r="G164" s="14">
        <f t="shared" si="4"/>
        <v>10000</v>
      </c>
      <c r="H164" s="41">
        <f t="shared" si="1"/>
        <v>11619</v>
      </c>
      <c r="I164" s="40">
        <f t="shared" si="2"/>
        <v>270100</v>
      </c>
      <c r="K164" s="42">
        <f>SUMPRODUCT((B164&gt;=Plan!$C$13:$C$23)*Plan!$D$13:$D$23)</f>
        <v>36500</v>
      </c>
    </row>
    <row r="165" ht="15.75" customHeight="1">
      <c r="A165" s="43">
        <v>161.0</v>
      </c>
      <c r="B165" s="14">
        <f>161*Plan!$C$8</f>
        <v>1610000</v>
      </c>
      <c r="C165" s="43" t="str">
        <f t="array" ref="C165">INDEX(Plan!$B$13:$B$23,MATCH(B165,Plan!$C$13:$C$23,1))</f>
        <v>Chairman's Circle</v>
      </c>
      <c r="D165" s="24">
        <f>IF(A165&lt;=100,Plan!$C$5+(Plan!$C$6-Plan!$C$5)*(A165-1)/99,IF(A165&lt;=200,Plan!$C$6+(Plan!$C$7-Plan!$C$6)*(A165-100)/100,Plan!$C$7))</f>
        <v>0.1461</v>
      </c>
      <c r="E165" s="25">
        <f>D165*Plan!$C$8</f>
        <v>1461</v>
      </c>
      <c r="F165" s="44">
        <f t="shared" si="3"/>
        <v>160</v>
      </c>
      <c r="G165" s="14">
        <f t="shared" si="4"/>
        <v>0</v>
      </c>
      <c r="H165" s="41">
        <f t="shared" si="1"/>
        <v>1621</v>
      </c>
      <c r="I165" s="40">
        <f t="shared" si="2"/>
        <v>271721</v>
      </c>
      <c r="K165" s="42">
        <f>SUMPRODUCT((B165&gt;=Plan!$C$13:$C$23)*Plan!$D$13:$D$23)</f>
        <v>36500</v>
      </c>
    </row>
    <row r="166" ht="15.75" customHeight="1">
      <c r="A166" s="43">
        <v>162.0</v>
      </c>
      <c r="B166" s="14">
        <f>162*Plan!$C$8</f>
        <v>1620000</v>
      </c>
      <c r="C166" s="43" t="str">
        <f t="array" ref="C166">INDEX(Plan!$B$13:$B$23,MATCH(B166,Plan!$C$13:$C$23,1))</f>
        <v>Chairman's Circle</v>
      </c>
      <c r="D166" s="24">
        <f>IF(A166&lt;=100,Plan!$C$5+(Plan!$C$6-Plan!$C$5)*(A166-1)/99,IF(A166&lt;=200,Plan!$C$6+(Plan!$C$7-Plan!$C$6)*(A166-100)/100,Plan!$C$7))</f>
        <v>0.1462</v>
      </c>
      <c r="E166" s="25">
        <f>D166*Plan!$C$8</f>
        <v>1462</v>
      </c>
      <c r="F166" s="44">
        <f t="shared" si="3"/>
        <v>161</v>
      </c>
      <c r="G166" s="14">
        <f t="shared" si="4"/>
        <v>0</v>
      </c>
      <c r="H166" s="41">
        <f t="shared" si="1"/>
        <v>1623</v>
      </c>
      <c r="I166" s="40">
        <f t="shared" si="2"/>
        <v>273344</v>
      </c>
      <c r="K166" s="42">
        <f>SUMPRODUCT((B166&gt;=Plan!$C$13:$C$23)*Plan!$D$13:$D$23)</f>
        <v>36500</v>
      </c>
    </row>
    <row r="167" ht="15.75" customHeight="1">
      <c r="A167" s="43">
        <v>163.0</v>
      </c>
      <c r="B167" s="14">
        <f>163*Plan!$C$8</f>
        <v>1630000</v>
      </c>
      <c r="C167" s="43" t="str">
        <f t="array" ref="C167">INDEX(Plan!$B$13:$B$23,MATCH(B167,Plan!$C$13:$C$23,1))</f>
        <v>Chairman's Circle</v>
      </c>
      <c r="D167" s="24">
        <f>IF(A167&lt;=100,Plan!$C$5+(Plan!$C$6-Plan!$C$5)*(A167-1)/99,IF(A167&lt;=200,Plan!$C$6+(Plan!$C$7-Plan!$C$6)*(A167-100)/100,Plan!$C$7))</f>
        <v>0.1463</v>
      </c>
      <c r="E167" s="25">
        <f>D167*Plan!$C$8</f>
        <v>1463</v>
      </c>
      <c r="F167" s="44">
        <f t="shared" si="3"/>
        <v>162</v>
      </c>
      <c r="G167" s="14">
        <f t="shared" si="4"/>
        <v>0</v>
      </c>
      <c r="H167" s="41">
        <f t="shared" si="1"/>
        <v>1625</v>
      </c>
      <c r="I167" s="40">
        <f t="shared" si="2"/>
        <v>274969</v>
      </c>
      <c r="K167" s="42">
        <f>SUMPRODUCT((B167&gt;=Plan!$C$13:$C$23)*Plan!$D$13:$D$23)</f>
        <v>36500</v>
      </c>
    </row>
    <row r="168" ht="15.75" customHeight="1">
      <c r="A168" s="43">
        <v>164.0</v>
      </c>
      <c r="B168" s="14">
        <f>164*Plan!$C$8</f>
        <v>1640000</v>
      </c>
      <c r="C168" s="43" t="str">
        <f t="array" ref="C168">INDEX(Plan!$B$13:$B$23,MATCH(B168,Plan!$C$13:$C$23,1))</f>
        <v>Chairman's Circle</v>
      </c>
      <c r="D168" s="24">
        <f>IF(A168&lt;=100,Plan!$C$5+(Plan!$C$6-Plan!$C$5)*(A168-1)/99,IF(A168&lt;=200,Plan!$C$6+(Plan!$C$7-Plan!$C$6)*(A168-100)/100,Plan!$C$7))</f>
        <v>0.1464</v>
      </c>
      <c r="E168" s="25">
        <f>D168*Plan!$C$8</f>
        <v>1464</v>
      </c>
      <c r="F168" s="44">
        <f t="shared" si="3"/>
        <v>163</v>
      </c>
      <c r="G168" s="14">
        <f t="shared" si="4"/>
        <v>0</v>
      </c>
      <c r="H168" s="41">
        <f t="shared" si="1"/>
        <v>1627</v>
      </c>
      <c r="I168" s="40">
        <f t="shared" si="2"/>
        <v>276596</v>
      </c>
      <c r="K168" s="42">
        <f>SUMPRODUCT((B168&gt;=Plan!$C$13:$C$23)*Plan!$D$13:$D$23)</f>
        <v>36500</v>
      </c>
    </row>
    <row r="169" ht="15.75" customHeight="1">
      <c r="A169" s="43">
        <v>165.0</v>
      </c>
      <c r="B169" s="14">
        <f>165*Plan!$C$8</f>
        <v>1650000</v>
      </c>
      <c r="C169" s="43" t="str">
        <f t="array" ref="C169">INDEX(Plan!$B$13:$B$23,MATCH(B169,Plan!$C$13:$C$23,1))</f>
        <v>Chairman's Circle</v>
      </c>
      <c r="D169" s="24">
        <f>IF(A169&lt;=100,Plan!$C$5+(Plan!$C$6-Plan!$C$5)*(A169-1)/99,IF(A169&lt;=200,Plan!$C$6+(Plan!$C$7-Plan!$C$6)*(A169-100)/100,Plan!$C$7))</f>
        <v>0.1465</v>
      </c>
      <c r="E169" s="25">
        <f>D169*Plan!$C$8</f>
        <v>1465</v>
      </c>
      <c r="F169" s="44">
        <f t="shared" si="3"/>
        <v>164</v>
      </c>
      <c r="G169" s="14">
        <f t="shared" si="4"/>
        <v>0</v>
      </c>
      <c r="H169" s="41">
        <f t="shared" si="1"/>
        <v>1629</v>
      </c>
      <c r="I169" s="40">
        <f t="shared" si="2"/>
        <v>278225</v>
      </c>
      <c r="K169" s="42">
        <f>SUMPRODUCT((B169&gt;=Plan!$C$13:$C$23)*Plan!$D$13:$D$23)</f>
        <v>36500</v>
      </c>
    </row>
    <row r="170" ht="15.75" customHeight="1">
      <c r="A170" s="43">
        <v>166.0</v>
      </c>
      <c r="B170" s="14">
        <f>166*Plan!$C$8</f>
        <v>1660000</v>
      </c>
      <c r="C170" s="43" t="str">
        <f t="array" ref="C170">INDEX(Plan!$B$13:$B$23,MATCH(B170,Plan!$C$13:$C$23,1))</f>
        <v>Chairman's Circle</v>
      </c>
      <c r="D170" s="24">
        <f>IF(A170&lt;=100,Plan!$C$5+(Plan!$C$6-Plan!$C$5)*(A170-1)/99,IF(A170&lt;=200,Plan!$C$6+(Plan!$C$7-Plan!$C$6)*(A170-100)/100,Plan!$C$7))</f>
        <v>0.1466</v>
      </c>
      <c r="E170" s="25">
        <f>D170*Plan!$C$8</f>
        <v>1466</v>
      </c>
      <c r="F170" s="44">
        <f t="shared" si="3"/>
        <v>165</v>
      </c>
      <c r="G170" s="14">
        <f t="shared" si="4"/>
        <v>0</v>
      </c>
      <c r="H170" s="41">
        <f t="shared" si="1"/>
        <v>1631</v>
      </c>
      <c r="I170" s="40">
        <f t="shared" si="2"/>
        <v>279856</v>
      </c>
      <c r="K170" s="42">
        <f>SUMPRODUCT((B170&gt;=Plan!$C$13:$C$23)*Plan!$D$13:$D$23)</f>
        <v>36500</v>
      </c>
    </row>
    <row r="171" ht="15.75" customHeight="1">
      <c r="A171" s="43">
        <v>167.0</v>
      </c>
      <c r="B171" s="14">
        <f>167*Plan!$C$8</f>
        <v>1670000</v>
      </c>
      <c r="C171" s="43" t="str">
        <f t="array" ref="C171">INDEX(Plan!$B$13:$B$23,MATCH(B171,Plan!$C$13:$C$23,1))</f>
        <v>Chairman's Circle</v>
      </c>
      <c r="D171" s="24">
        <f>IF(A171&lt;=100,Plan!$C$5+(Plan!$C$6-Plan!$C$5)*(A171-1)/99,IF(A171&lt;=200,Plan!$C$6+(Plan!$C$7-Plan!$C$6)*(A171-100)/100,Plan!$C$7))</f>
        <v>0.1467</v>
      </c>
      <c r="E171" s="25">
        <f>D171*Plan!$C$8</f>
        <v>1467</v>
      </c>
      <c r="F171" s="44">
        <f t="shared" si="3"/>
        <v>166</v>
      </c>
      <c r="G171" s="14">
        <f t="shared" si="4"/>
        <v>0</v>
      </c>
      <c r="H171" s="41">
        <f t="shared" si="1"/>
        <v>1633</v>
      </c>
      <c r="I171" s="40">
        <f t="shared" si="2"/>
        <v>281489</v>
      </c>
      <c r="K171" s="42">
        <f>SUMPRODUCT((B171&gt;=Plan!$C$13:$C$23)*Plan!$D$13:$D$23)</f>
        <v>36500</v>
      </c>
    </row>
    <row r="172" ht="15.75" customHeight="1">
      <c r="A172" s="43">
        <v>168.0</v>
      </c>
      <c r="B172" s="14">
        <f>168*Plan!$C$8</f>
        <v>1680000</v>
      </c>
      <c r="C172" s="43" t="str">
        <f t="array" ref="C172">INDEX(Plan!$B$13:$B$23,MATCH(B172,Plan!$C$13:$C$23,1))</f>
        <v>Chairman's Circle</v>
      </c>
      <c r="D172" s="24">
        <f>IF(A172&lt;=100,Plan!$C$5+(Plan!$C$6-Plan!$C$5)*(A172-1)/99,IF(A172&lt;=200,Plan!$C$6+(Plan!$C$7-Plan!$C$6)*(A172-100)/100,Plan!$C$7))</f>
        <v>0.1468</v>
      </c>
      <c r="E172" s="25">
        <f>D172*Plan!$C$8</f>
        <v>1468</v>
      </c>
      <c r="F172" s="44">
        <f t="shared" si="3"/>
        <v>167</v>
      </c>
      <c r="G172" s="14">
        <f t="shared" si="4"/>
        <v>0</v>
      </c>
      <c r="H172" s="41">
        <f t="shared" si="1"/>
        <v>1635</v>
      </c>
      <c r="I172" s="40">
        <f t="shared" si="2"/>
        <v>283124</v>
      </c>
      <c r="K172" s="42">
        <f>SUMPRODUCT((B172&gt;=Plan!$C$13:$C$23)*Plan!$D$13:$D$23)</f>
        <v>36500</v>
      </c>
    </row>
    <row r="173" ht="15.75" customHeight="1">
      <c r="A173" s="43">
        <v>169.0</v>
      </c>
      <c r="B173" s="14">
        <f>169*Plan!$C$8</f>
        <v>1690000</v>
      </c>
      <c r="C173" s="43" t="str">
        <f t="array" ref="C173">INDEX(Plan!$B$13:$B$23,MATCH(B173,Plan!$C$13:$C$23,1))</f>
        <v>Chairman's Circle</v>
      </c>
      <c r="D173" s="24">
        <f>IF(A173&lt;=100,Plan!$C$5+(Plan!$C$6-Plan!$C$5)*(A173-1)/99,IF(A173&lt;=200,Plan!$C$6+(Plan!$C$7-Plan!$C$6)*(A173-100)/100,Plan!$C$7))</f>
        <v>0.1469</v>
      </c>
      <c r="E173" s="25">
        <f>D173*Plan!$C$8</f>
        <v>1469</v>
      </c>
      <c r="F173" s="44">
        <f t="shared" si="3"/>
        <v>168</v>
      </c>
      <c r="G173" s="14">
        <f t="shared" si="4"/>
        <v>0</v>
      </c>
      <c r="H173" s="41">
        <f t="shared" si="1"/>
        <v>1637</v>
      </c>
      <c r="I173" s="40">
        <f t="shared" si="2"/>
        <v>284761</v>
      </c>
      <c r="K173" s="42">
        <f>SUMPRODUCT((B173&gt;=Plan!$C$13:$C$23)*Plan!$D$13:$D$23)</f>
        <v>36500</v>
      </c>
    </row>
    <row r="174" ht="15.75" customHeight="1">
      <c r="A174" s="43">
        <v>170.0</v>
      </c>
      <c r="B174" s="14">
        <f>170*Plan!$C$8</f>
        <v>1700000</v>
      </c>
      <c r="C174" s="43" t="str">
        <f t="array" ref="C174">INDEX(Plan!$B$13:$B$23,MATCH(B174,Plan!$C$13:$C$23,1))</f>
        <v>Chairman's Circle</v>
      </c>
      <c r="D174" s="24">
        <f>IF(A174&lt;=100,Plan!$C$5+(Plan!$C$6-Plan!$C$5)*(A174-1)/99,IF(A174&lt;=200,Plan!$C$6+(Plan!$C$7-Plan!$C$6)*(A174-100)/100,Plan!$C$7))</f>
        <v>0.147</v>
      </c>
      <c r="E174" s="25">
        <f>D174*Plan!$C$8</f>
        <v>1470</v>
      </c>
      <c r="F174" s="44">
        <f t="shared" si="3"/>
        <v>169</v>
      </c>
      <c r="G174" s="14">
        <f t="shared" si="4"/>
        <v>0</v>
      </c>
      <c r="H174" s="41">
        <f t="shared" si="1"/>
        <v>1639</v>
      </c>
      <c r="I174" s="40">
        <f t="shared" si="2"/>
        <v>286400</v>
      </c>
      <c r="K174" s="42">
        <f>SUMPRODUCT((B174&gt;=Plan!$C$13:$C$23)*Plan!$D$13:$D$23)</f>
        <v>36500</v>
      </c>
    </row>
    <row r="175" ht="15.75" customHeight="1">
      <c r="A175" s="43">
        <v>171.0</v>
      </c>
      <c r="B175" s="14">
        <f>171*Plan!$C$8</f>
        <v>1710000</v>
      </c>
      <c r="C175" s="43" t="str">
        <f t="array" ref="C175">INDEX(Plan!$B$13:$B$23,MATCH(B175,Plan!$C$13:$C$23,1))</f>
        <v>Chairman's Circle</v>
      </c>
      <c r="D175" s="24">
        <f>IF(A175&lt;=100,Plan!$C$5+(Plan!$C$6-Plan!$C$5)*(A175-1)/99,IF(A175&lt;=200,Plan!$C$6+(Plan!$C$7-Plan!$C$6)*(A175-100)/100,Plan!$C$7))</f>
        <v>0.1471</v>
      </c>
      <c r="E175" s="25">
        <f>D175*Plan!$C$8</f>
        <v>1471</v>
      </c>
      <c r="F175" s="44">
        <f t="shared" si="3"/>
        <v>170</v>
      </c>
      <c r="G175" s="14">
        <f t="shared" si="4"/>
        <v>0</v>
      </c>
      <c r="H175" s="41">
        <f t="shared" si="1"/>
        <v>1641</v>
      </c>
      <c r="I175" s="40">
        <f t="shared" si="2"/>
        <v>288041</v>
      </c>
      <c r="K175" s="42">
        <f>SUMPRODUCT((B175&gt;=Plan!$C$13:$C$23)*Plan!$D$13:$D$23)</f>
        <v>36500</v>
      </c>
    </row>
    <row r="176" ht="15.75" customHeight="1">
      <c r="A176" s="43">
        <v>172.0</v>
      </c>
      <c r="B176" s="14">
        <f>172*Plan!$C$8</f>
        <v>1720000</v>
      </c>
      <c r="C176" s="43" t="str">
        <f t="array" ref="C176">INDEX(Plan!$B$13:$B$23,MATCH(B176,Plan!$C$13:$C$23,1))</f>
        <v>Chairman's Circle</v>
      </c>
      <c r="D176" s="24">
        <f>IF(A176&lt;=100,Plan!$C$5+(Plan!$C$6-Plan!$C$5)*(A176-1)/99,IF(A176&lt;=200,Plan!$C$6+(Plan!$C$7-Plan!$C$6)*(A176-100)/100,Plan!$C$7))</f>
        <v>0.1472</v>
      </c>
      <c r="E176" s="25">
        <f>D176*Plan!$C$8</f>
        <v>1472</v>
      </c>
      <c r="F176" s="44">
        <f t="shared" si="3"/>
        <v>171</v>
      </c>
      <c r="G176" s="14">
        <f t="shared" si="4"/>
        <v>0</v>
      </c>
      <c r="H176" s="41">
        <f t="shared" si="1"/>
        <v>1643</v>
      </c>
      <c r="I176" s="40">
        <f t="shared" si="2"/>
        <v>289684</v>
      </c>
      <c r="K176" s="42">
        <f>SUMPRODUCT((B176&gt;=Plan!$C$13:$C$23)*Plan!$D$13:$D$23)</f>
        <v>36500</v>
      </c>
    </row>
    <row r="177" ht="15.75" customHeight="1">
      <c r="A177" s="43">
        <v>173.0</v>
      </c>
      <c r="B177" s="14">
        <f>173*Plan!$C$8</f>
        <v>1730000</v>
      </c>
      <c r="C177" s="43" t="str">
        <f t="array" ref="C177">INDEX(Plan!$B$13:$B$23,MATCH(B177,Plan!$C$13:$C$23,1))</f>
        <v>Chairman's Circle</v>
      </c>
      <c r="D177" s="24">
        <f>IF(A177&lt;=100,Plan!$C$5+(Plan!$C$6-Plan!$C$5)*(A177-1)/99,IF(A177&lt;=200,Plan!$C$6+(Plan!$C$7-Plan!$C$6)*(A177-100)/100,Plan!$C$7))</f>
        <v>0.1473</v>
      </c>
      <c r="E177" s="25">
        <f>D177*Plan!$C$8</f>
        <v>1473</v>
      </c>
      <c r="F177" s="44">
        <f t="shared" si="3"/>
        <v>172</v>
      </c>
      <c r="G177" s="14">
        <f t="shared" si="4"/>
        <v>0</v>
      </c>
      <c r="H177" s="41">
        <f t="shared" si="1"/>
        <v>1645</v>
      </c>
      <c r="I177" s="40">
        <f t="shared" si="2"/>
        <v>291329</v>
      </c>
      <c r="K177" s="42">
        <f>SUMPRODUCT((B177&gt;=Plan!$C$13:$C$23)*Plan!$D$13:$D$23)</f>
        <v>36500</v>
      </c>
    </row>
    <row r="178" ht="15.75" customHeight="1">
      <c r="A178" s="43">
        <v>174.0</v>
      </c>
      <c r="B178" s="14">
        <f>174*Plan!$C$8</f>
        <v>1740000</v>
      </c>
      <c r="C178" s="43" t="str">
        <f t="array" ref="C178">INDEX(Plan!$B$13:$B$23,MATCH(B178,Plan!$C$13:$C$23,1))</f>
        <v>Chairman's Circle</v>
      </c>
      <c r="D178" s="24">
        <f>IF(A178&lt;=100,Plan!$C$5+(Plan!$C$6-Plan!$C$5)*(A178-1)/99,IF(A178&lt;=200,Plan!$C$6+(Plan!$C$7-Plan!$C$6)*(A178-100)/100,Plan!$C$7))</f>
        <v>0.1474</v>
      </c>
      <c r="E178" s="25">
        <f>D178*Plan!$C$8</f>
        <v>1474</v>
      </c>
      <c r="F178" s="44">
        <f t="shared" si="3"/>
        <v>173</v>
      </c>
      <c r="G178" s="14">
        <f t="shared" si="4"/>
        <v>0</v>
      </c>
      <c r="H178" s="41">
        <f t="shared" si="1"/>
        <v>1647</v>
      </c>
      <c r="I178" s="40">
        <f t="shared" si="2"/>
        <v>292976</v>
      </c>
      <c r="K178" s="42">
        <f>SUMPRODUCT((B178&gt;=Plan!$C$13:$C$23)*Plan!$D$13:$D$23)</f>
        <v>36500</v>
      </c>
    </row>
    <row r="179" ht="15.75" customHeight="1">
      <c r="A179" s="43">
        <v>175.0</v>
      </c>
      <c r="B179" s="14">
        <f>175*Plan!$C$8</f>
        <v>1750000</v>
      </c>
      <c r="C179" s="43" t="str">
        <f t="array" ref="C179">INDEX(Plan!$B$13:$B$23,MATCH(B179,Plan!$C$13:$C$23,1))</f>
        <v>Chairman's Circle</v>
      </c>
      <c r="D179" s="24">
        <f>IF(A179&lt;=100,Plan!$C$5+(Plan!$C$6-Plan!$C$5)*(A179-1)/99,IF(A179&lt;=200,Plan!$C$6+(Plan!$C$7-Plan!$C$6)*(A179-100)/100,Plan!$C$7))</f>
        <v>0.1475</v>
      </c>
      <c r="E179" s="25">
        <f>D179*Plan!$C$8</f>
        <v>1475</v>
      </c>
      <c r="F179" s="44">
        <f t="shared" si="3"/>
        <v>174</v>
      </c>
      <c r="G179" s="14">
        <f t="shared" si="4"/>
        <v>0</v>
      </c>
      <c r="H179" s="41">
        <f t="shared" si="1"/>
        <v>1649</v>
      </c>
      <c r="I179" s="40">
        <f t="shared" si="2"/>
        <v>294625</v>
      </c>
      <c r="K179" s="42">
        <f>SUMPRODUCT((B179&gt;=Plan!$C$13:$C$23)*Plan!$D$13:$D$23)</f>
        <v>36500</v>
      </c>
    </row>
    <row r="180" ht="15.75" customHeight="1">
      <c r="A180" s="43">
        <v>176.0</v>
      </c>
      <c r="B180" s="14">
        <f>176*Plan!$C$8</f>
        <v>1760000</v>
      </c>
      <c r="C180" s="43" t="str">
        <f t="array" ref="C180">INDEX(Plan!$B$13:$B$23,MATCH(B180,Plan!$C$13:$C$23,1))</f>
        <v>Chairman's Circle</v>
      </c>
      <c r="D180" s="24">
        <f>IF(A180&lt;=100,Plan!$C$5+(Plan!$C$6-Plan!$C$5)*(A180-1)/99,IF(A180&lt;=200,Plan!$C$6+(Plan!$C$7-Plan!$C$6)*(A180-100)/100,Plan!$C$7))</f>
        <v>0.1476</v>
      </c>
      <c r="E180" s="25">
        <f>D180*Plan!$C$8</f>
        <v>1476</v>
      </c>
      <c r="F180" s="44">
        <f t="shared" si="3"/>
        <v>175</v>
      </c>
      <c r="G180" s="14">
        <f t="shared" si="4"/>
        <v>0</v>
      </c>
      <c r="H180" s="41">
        <f t="shared" si="1"/>
        <v>1651</v>
      </c>
      <c r="I180" s="40">
        <f t="shared" si="2"/>
        <v>296276</v>
      </c>
      <c r="K180" s="42">
        <f>SUMPRODUCT((B180&gt;=Plan!$C$13:$C$23)*Plan!$D$13:$D$23)</f>
        <v>36500</v>
      </c>
    </row>
    <row r="181" ht="15.75" customHeight="1">
      <c r="A181" s="43">
        <v>177.0</v>
      </c>
      <c r="B181" s="14">
        <f>177*Plan!$C$8</f>
        <v>1770000</v>
      </c>
      <c r="C181" s="43" t="str">
        <f t="array" ref="C181">INDEX(Plan!$B$13:$B$23,MATCH(B181,Plan!$C$13:$C$23,1))</f>
        <v>Chairman's Circle</v>
      </c>
      <c r="D181" s="24">
        <f>IF(A181&lt;=100,Plan!$C$5+(Plan!$C$6-Plan!$C$5)*(A181-1)/99,IF(A181&lt;=200,Plan!$C$6+(Plan!$C$7-Plan!$C$6)*(A181-100)/100,Plan!$C$7))</f>
        <v>0.1477</v>
      </c>
      <c r="E181" s="25">
        <f>D181*Plan!$C$8</f>
        <v>1477</v>
      </c>
      <c r="F181" s="44">
        <f t="shared" si="3"/>
        <v>176</v>
      </c>
      <c r="G181" s="14">
        <f t="shared" si="4"/>
        <v>0</v>
      </c>
      <c r="H181" s="41">
        <f t="shared" si="1"/>
        <v>1653</v>
      </c>
      <c r="I181" s="40">
        <f t="shared" si="2"/>
        <v>297929</v>
      </c>
      <c r="K181" s="42">
        <f>SUMPRODUCT((B181&gt;=Plan!$C$13:$C$23)*Plan!$D$13:$D$23)</f>
        <v>36500</v>
      </c>
    </row>
    <row r="182" ht="15.75" customHeight="1">
      <c r="A182" s="43">
        <v>178.0</v>
      </c>
      <c r="B182" s="14">
        <f>178*Plan!$C$8</f>
        <v>1780000</v>
      </c>
      <c r="C182" s="43" t="str">
        <f t="array" ref="C182">INDEX(Plan!$B$13:$B$23,MATCH(B182,Plan!$C$13:$C$23,1))</f>
        <v>Chairman's Circle</v>
      </c>
      <c r="D182" s="24">
        <f>IF(A182&lt;=100,Plan!$C$5+(Plan!$C$6-Plan!$C$5)*(A182-1)/99,IF(A182&lt;=200,Plan!$C$6+(Plan!$C$7-Plan!$C$6)*(A182-100)/100,Plan!$C$7))</f>
        <v>0.1478</v>
      </c>
      <c r="E182" s="25">
        <f>D182*Plan!$C$8</f>
        <v>1478</v>
      </c>
      <c r="F182" s="44">
        <f t="shared" si="3"/>
        <v>177</v>
      </c>
      <c r="G182" s="14">
        <f t="shared" si="4"/>
        <v>0</v>
      </c>
      <c r="H182" s="41">
        <f t="shared" si="1"/>
        <v>1655</v>
      </c>
      <c r="I182" s="40">
        <f t="shared" si="2"/>
        <v>299584</v>
      </c>
      <c r="K182" s="42">
        <f>SUMPRODUCT((B182&gt;=Plan!$C$13:$C$23)*Plan!$D$13:$D$23)</f>
        <v>36500</v>
      </c>
    </row>
    <row r="183" ht="15.75" customHeight="1">
      <c r="A183" s="43">
        <v>179.0</v>
      </c>
      <c r="B183" s="14">
        <f>179*Plan!$C$8</f>
        <v>1790000</v>
      </c>
      <c r="C183" s="43" t="str">
        <f t="array" ref="C183">INDEX(Plan!$B$13:$B$23,MATCH(B183,Plan!$C$13:$C$23,1))</f>
        <v>Chairman's Circle</v>
      </c>
      <c r="D183" s="24">
        <f>IF(A183&lt;=100,Plan!$C$5+(Plan!$C$6-Plan!$C$5)*(A183-1)/99,IF(A183&lt;=200,Plan!$C$6+(Plan!$C$7-Plan!$C$6)*(A183-100)/100,Plan!$C$7))</f>
        <v>0.1479</v>
      </c>
      <c r="E183" s="25">
        <f>D183*Plan!$C$8</f>
        <v>1479</v>
      </c>
      <c r="F183" s="44">
        <f t="shared" si="3"/>
        <v>178</v>
      </c>
      <c r="G183" s="14">
        <f t="shared" si="4"/>
        <v>0</v>
      </c>
      <c r="H183" s="41">
        <f t="shared" si="1"/>
        <v>1657</v>
      </c>
      <c r="I183" s="40">
        <f t="shared" si="2"/>
        <v>301241</v>
      </c>
      <c r="K183" s="42">
        <f>SUMPRODUCT((B183&gt;=Plan!$C$13:$C$23)*Plan!$D$13:$D$23)</f>
        <v>36500</v>
      </c>
    </row>
    <row r="184" ht="15.75" customHeight="1">
      <c r="A184" s="43">
        <v>180.0</v>
      </c>
      <c r="B184" s="14">
        <f>180*Plan!$C$8</f>
        <v>1800000</v>
      </c>
      <c r="C184" s="43" t="str">
        <f t="array" ref="C184">INDEX(Plan!$B$13:$B$23,MATCH(B184,Plan!$C$13:$C$23,1))</f>
        <v>Chairman's Circle</v>
      </c>
      <c r="D184" s="24">
        <f>IF(A184&lt;=100,Plan!$C$5+(Plan!$C$6-Plan!$C$5)*(A184-1)/99,IF(A184&lt;=200,Plan!$C$6+(Plan!$C$7-Plan!$C$6)*(A184-100)/100,Plan!$C$7))</f>
        <v>0.148</v>
      </c>
      <c r="E184" s="25">
        <f>D184*Plan!$C$8</f>
        <v>1480</v>
      </c>
      <c r="F184" s="44">
        <f t="shared" si="3"/>
        <v>179</v>
      </c>
      <c r="G184" s="14">
        <f t="shared" si="4"/>
        <v>0</v>
      </c>
      <c r="H184" s="41">
        <f t="shared" si="1"/>
        <v>1659</v>
      </c>
      <c r="I184" s="40">
        <f t="shared" si="2"/>
        <v>302900</v>
      </c>
      <c r="K184" s="42">
        <f>SUMPRODUCT((B184&gt;=Plan!$C$13:$C$23)*Plan!$D$13:$D$23)</f>
        <v>36500</v>
      </c>
    </row>
    <row r="185" ht="15.75" customHeight="1">
      <c r="A185" s="43">
        <v>181.0</v>
      </c>
      <c r="B185" s="14">
        <f>181*Plan!$C$8</f>
        <v>1810000</v>
      </c>
      <c r="C185" s="43" t="str">
        <f t="array" ref="C185">INDEX(Plan!$B$13:$B$23,MATCH(B185,Plan!$C$13:$C$23,1))</f>
        <v>Chairman's Circle</v>
      </c>
      <c r="D185" s="24">
        <f>IF(A185&lt;=100,Plan!$C$5+(Plan!$C$6-Plan!$C$5)*(A185-1)/99,IF(A185&lt;=200,Plan!$C$6+(Plan!$C$7-Plan!$C$6)*(A185-100)/100,Plan!$C$7))</f>
        <v>0.1481</v>
      </c>
      <c r="E185" s="25">
        <f>D185*Plan!$C$8</f>
        <v>1481</v>
      </c>
      <c r="F185" s="44">
        <f t="shared" si="3"/>
        <v>180</v>
      </c>
      <c r="G185" s="14">
        <f t="shared" si="4"/>
        <v>0</v>
      </c>
      <c r="H185" s="41">
        <f t="shared" si="1"/>
        <v>1661</v>
      </c>
      <c r="I185" s="40">
        <f t="shared" si="2"/>
        <v>304561</v>
      </c>
      <c r="K185" s="42">
        <f>SUMPRODUCT((B185&gt;=Plan!$C$13:$C$23)*Plan!$D$13:$D$23)</f>
        <v>36500</v>
      </c>
    </row>
    <row r="186" ht="15.75" customHeight="1">
      <c r="A186" s="43">
        <v>182.0</v>
      </c>
      <c r="B186" s="14">
        <f>182*Plan!$C$8</f>
        <v>1820000</v>
      </c>
      <c r="C186" s="43" t="str">
        <f t="array" ref="C186">INDEX(Plan!$B$13:$B$23,MATCH(B186,Plan!$C$13:$C$23,1))</f>
        <v>Chairman's Circle</v>
      </c>
      <c r="D186" s="24">
        <f>IF(A186&lt;=100,Plan!$C$5+(Plan!$C$6-Plan!$C$5)*(A186-1)/99,IF(A186&lt;=200,Plan!$C$6+(Plan!$C$7-Plan!$C$6)*(A186-100)/100,Plan!$C$7))</f>
        <v>0.1482</v>
      </c>
      <c r="E186" s="25">
        <f>D186*Plan!$C$8</f>
        <v>1482</v>
      </c>
      <c r="F186" s="44">
        <f t="shared" si="3"/>
        <v>181</v>
      </c>
      <c r="G186" s="14">
        <f t="shared" si="4"/>
        <v>0</v>
      </c>
      <c r="H186" s="41">
        <f t="shared" si="1"/>
        <v>1663</v>
      </c>
      <c r="I186" s="40">
        <f t="shared" si="2"/>
        <v>306224</v>
      </c>
      <c r="K186" s="42">
        <f>SUMPRODUCT((B186&gt;=Plan!$C$13:$C$23)*Plan!$D$13:$D$23)</f>
        <v>36500</v>
      </c>
    </row>
    <row r="187" ht="15.75" customHeight="1">
      <c r="A187" s="43">
        <v>183.0</v>
      </c>
      <c r="B187" s="14">
        <f>183*Plan!$C$8</f>
        <v>1830000</v>
      </c>
      <c r="C187" s="43" t="str">
        <f t="array" ref="C187">INDEX(Plan!$B$13:$B$23,MATCH(B187,Plan!$C$13:$C$23,1))</f>
        <v>Chairman's Circle</v>
      </c>
      <c r="D187" s="24">
        <f>IF(A187&lt;=100,Plan!$C$5+(Plan!$C$6-Plan!$C$5)*(A187-1)/99,IF(A187&lt;=200,Plan!$C$6+(Plan!$C$7-Plan!$C$6)*(A187-100)/100,Plan!$C$7))</f>
        <v>0.1483</v>
      </c>
      <c r="E187" s="25">
        <f>D187*Plan!$C$8</f>
        <v>1483</v>
      </c>
      <c r="F187" s="44">
        <f t="shared" si="3"/>
        <v>182</v>
      </c>
      <c r="G187" s="14">
        <f t="shared" si="4"/>
        <v>0</v>
      </c>
      <c r="H187" s="41">
        <f t="shared" si="1"/>
        <v>1665</v>
      </c>
      <c r="I187" s="40">
        <f t="shared" si="2"/>
        <v>307889</v>
      </c>
      <c r="K187" s="42">
        <f>SUMPRODUCT((B187&gt;=Plan!$C$13:$C$23)*Plan!$D$13:$D$23)</f>
        <v>36500</v>
      </c>
    </row>
    <row r="188" ht="15.75" customHeight="1">
      <c r="A188" s="43">
        <v>184.0</v>
      </c>
      <c r="B188" s="14">
        <f>184*Plan!$C$8</f>
        <v>1840000</v>
      </c>
      <c r="C188" s="43" t="str">
        <f t="array" ref="C188">INDEX(Plan!$B$13:$B$23,MATCH(B188,Plan!$C$13:$C$23,1))</f>
        <v>Chairman's Circle</v>
      </c>
      <c r="D188" s="24">
        <f>IF(A188&lt;=100,Plan!$C$5+(Plan!$C$6-Plan!$C$5)*(A188-1)/99,IF(A188&lt;=200,Plan!$C$6+(Plan!$C$7-Plan!$C$6)*(A188-100)/100,Plan!$C$7))</f>
        <v>0.1484</v>
      </c>
      <c r="E188" s="25">
        <f>D188*Plan!$C$8</f>
        <v>1484</v>
      </c>
      <c r="F188" s="44">
        <f t="shared" si="3"/>
        <v>183</v>
      </c>
      <c r="G188" s="14">
        <f t="shared" si="4"/>
        <v>0</v>
      </c>
      <c r="H188" s="41">
        <f t="shared" si="1"/>
        <v>1667</v>
      </c>
      <c r="I188" s="40">
        <f t="shared" si="2"/>
        <v>309556</v>
      </c>
      <c r="K188" s="42">
        <f>SUMPRODUCT((B188&gt;=Plan!$C$13:$C$23)*Plan!$D$13:$D$23)</f>
        <v>36500</v>
      </c>
    </row>
    <row r="189" ht="15.75" customHeight="1">
      <c r="A189" s="43">
        <v>185.0</v>
      </c>
      <c r="B189" s="14">
        <f>185*Plan!$C$8</f>
        <v>1850000</v>
      </c>
      <c r="C189" s="43" t="str">
        <f t="array" ref="C189">INDEX(Plan!$B$13:$B$23,MATCH(B189,Plan!$C$13:$C$23,1))</f>
        <v>Chairman's Circle</v>
      </c>
      <c r="D189" s="24">
        <f>IF(A189&lt;=100,Plan!$C$5+(Plan!$C$6-Plan!$C$5)*(A189-1)/99,IF(A189&lt;=200,Plan!$C$6+(Plan!$C$7-Plan!$C$6)*(A189-100)/100,Plan!$C$7))</f>
        <v>0.1485</v>
      </c>
      <c r="E189" s="25">
        <f>D189*Plan!$C$8</f>
        <v>1485</v>
      </c>
      <c r="F189" s="44">
        <f t="shared" si="3"/>
        <v>184</v>
      </c>
      <c r="G189" s="14">
        <f t="shared" si="4"/>
        <v>0</v>
      </c>
      <c r="H189" s="41">
        <f t="shared" si="1"/>
        <v>1669</v>
      </c>
      <c r="I189" s="40">
        <f t="shared" si="2"/>
        <v>311225</v>
      </c>
      <c r="K189" s="42">
        <f>SUMPRODUCT((B189&gt;=Plan!$C$13:$C$23)*Plan!$D$13:$D$23)</f>
        <v>36500</v>
      </c>
    </row>
    <row r="190" ht="15.75" customHeight="1">
      <c r="A190" s="43">
        <v>186.0</v>
      </c>
      <c r="B190" s="14">
        <f>186*Plan!$C$8</f>
        <v>1860000</v>
      </c>
      <c r="C190" s="43" t="str">
        <f t="array" ref="C190">INDEX(Plan!$B$13:$B$23,MATCH(B190,Plan!$C$13:$C$23,1))</f>
        <v>Chairman's Circle</v>
      </c>
      <c r="D190" s="24">
        <f>IF(A190&lt;=100,Plan!$C$5+(Plan!$C$6-Plan!$C$5)*(A190-1)/99,IF(A190&lt;=200,Plan!$C$6+(Plan!$C$7-Plan!$C$6)*(A190-100)/100,Plan!$C$7))</f>
        <v>0.1486</v>
      </c>
      <c r="E190" s="25">
        <f>D190*Plan!$C$8</f>
        <v>1486</v>
      </c>
      <c r="F190" s="44">
        <f t="shared" si="3"/>
        <v>185</v>
      </c>
      <c r="G190" s="14">
        <f t="shared" si="4"/>
        <v>0</v>
      </c>
      <c r="H190" s="41">
        <f t="shared" si="1"/>
        <v>1671</v>
      </c>
      <c r="I190" s="40">
        <f t="shared" si="2"/>
        <v>312896</v>
      </c>
      <c r="K190" s="42">
        <f>SUMPRODUCT((B190&gt;=Plan!$C$13:$C$23)*Plan!$D$13:$D$23)</f>
        <v>36500</v>
      </c>
    </row>
    <row r="191" ht="15.75" customHeight="1">
      <c r="A191" s="43">
        <v>187.0</v>
      </c>
      <c r="B191" s="14">
        <f>187*Plan!$C$8</f>
        <v>1870000</v>
      </c>
      <c r="C191" s="43" t="str">
        <f t="array" ref="C191">INDEX(Plan!$B$13:$B$23,MATCH(B191,Plan!$C$13:$C$23,1))</f>
        <v>Chairman's Circle</v>
      </c>
      <c r="D191" s="24">
        <f>IF(A191&lt;=100,Plan!$C$5+(Plan!$C$6-Plan!$C$5)*(A191-1)/99,IF(A191&lt;=200,Plan!$C$6+(Plan!$C$7-Plan!$C$6)*(A191-100)/100,Plan!$C$7))</f>
        <v>0.1487</v>
      </c>
      <c r="E191" s="25">
        <f>D191*Plan!$C$8</f>
        <v>1487</v>
      </c>
      <c r="F191" s="44">
        <f t="shared" si="3"/>
        <v>186</v>
      </c>
      <c r="G191" s="14">
        <f t="shared" si="4"/>
        <v>0</v>
      </c>
      <c r="H191" s="41">
        <f t="shared" si="1"/>
        <v>1673</v>
      </c>
      <c r="I191" s="40">
        <f t="shared" si="2"/>
        <v>314569</v>
      </c>
      <c r="K191" s="42">
        <f>SUMPRODUCT((B191&gt;=Plan!$C$13:$C$23)*Plan!$D$13:$D$23)</f>
        <v>36500</v>
      </c>
    </row>
    <row r="192" ht="15.75" customHeight="1">
      <c r="A192" s="43">
        <v>188.0</v>
      </c>
      <c r="B192" s="14">
        <f>188*Plan!$C$8</f>
        <v>1880000</v>
      </c>
      <c r="C192" s="43" t="str">
        <f t="array" ref="C192">INDEX(Plan!$B$13:$B$23,MATCH(B192,Plan!$C$13:$C$23,1))</f>
        <v>Chairman's Circle</v>
      </c>
      <c r="D192" s="24">
        <f>IF(A192&lt;=100,Plan!$C$5+(Plan!$C$6-Plan!$C$5)*(A192-1)/99,IF(A192&lt;=200,Plan!$C$6+(Plan!$C$7-Plan!$C$6)*(A192-100)/100,Plan!$C$7))</f>
        <v>0.1488</v>
      </c>
      <c r="E192" s="25">
        <f>D192*Plan!$C$8</f>
        <v>1488</v>
      </c>
      <c r="F192" s="44">
        <f t="shared" si="3"/>
        <v>187</v>
      </c>
      <c r="G192" s="14">
        <f t="shared" si="4"/>
        <v>0</v>
      </c>
      <c r="H192" s="41">
        <f t="shared" si="1"/>
        <v>1675</v>
      </c>
      <c r="I192" s="40">
        <f t="shared" si="2"/>
        <v>316244</v>
      </c>
      <c r="K192" s="42">
        <f>SUMPRODUCT((B192&gt;=Plan!$C$13:$C$23)*Plan!$D$13:$D$23)</f>
        <v>36500</v>
      </c>
    </row>
    <row r="193" ht="15.75" customHeight="1">
      <c r="A193" s="43">
        <v>189.0</v>
      </c>
      <c r="B193" s="14">
        <f>189*Plan!$C$8</f>
        <v>1890000</v>
      </c>
      <c r="C193" s="43" t="str">
        <f t="array" ref="C193">INDEX(Plan!$B$13:$B$23,MATCH(B193,Plan!$C$13:$C$23,1))</f>
        <v>Chairman's Circle</v>
      </c>
      <c r="D193" s="24">
        <f>IF(A193&lt;=100,Plan!$C$5+(Plan!$C$6-Plan!$C$5)*(A193-1)/99,IF(A193&lt;=200,Plan!$C$6+(Plan!$C$7-Plan!$C$6)*(A193-100)/100,Plan!$C$7))</f>
        <v>0.1489</v>
      </c>
      <c r="E193" s="25">
        <f>D193*Plan!$C$8</f>
        <v>1489</v>
      </c>
      <c r="F193" s="44">
        <f t="shared" si="3"/>
        <v>188</v>
      </c>
      <c r="G193" s="14">
        <f t="shared" si="4"/>
        <v>0</v>
      </c>
      <c r="H193" s="41">
        <f t="shared" si="1"/>
        <v>1677</v>
      </c>
      <c r="I193" s="40">
        <f t="shared" si="2"/>
        <v>317921</v>
      </c>
      <c r="K193" s="42">
        <f>SUMPRODUCT((B193&gt;=Plan!$C$13:$C$23)*Plan!$D$13:$D$23)</f>
        <v>36500</v>
      </c>
    </row>
    <row r="194" ht="15.75" customHeight="1">
      <c r="A194" s="43">
        <v>190.0</v>
      </c>
      <c r="B194" s="14">
        <f>190*Plan!$C$8</f>
        <v>1900000</v>
      </c>
      <c r="C194" s="43" t="str">
        <f t="array" ref="C194">INDEX(Plan!$B$13:$B$23,MATCH(B194,Plan!$C$13:$C$23,1))</f>
        <v>Chairman's Circle</v>
      </c>
      <c r="D194" s="24">
        <f>IF(A194&lt;=100,Plan!$C$5+(Plan!$C$6-Plan!$C$5)*(A194-1)/99,IF(A194&lt;=200,Plan!$C$6+(Plan!$C$7-Plan!$C$6)*(A194-100)/100,Plan!$C$7))</f>
        <v>0.149</v>
      </c>
      <c r="E194" s="25">
        <f>D194*Plan!$C$8</f>
        <v>1490</v>
      </c>
      <c r="F194" s="44">
        <f t="shared" si="3"/>
        <v>189</v>
      </c>
      <c r="G194" s="14">
        <f t="shared" si="4"/>
        <v>0</v>
      </c>
      <c r="H194" s="41">
        <f t="shared" si="1"/>
        <v>1679</v>
      </c>
      <c r="I194" s="40">
        <f t="shared" si="2"/>
        <v>319600</v>
      </c>
      <c r="K194" s="42">
        <f>SUMPRODUCT((B194&gt;=Plan!$C$13:$C$23)*Plan!$D$13:$D$23)</f>
        <v>36500</v>
      </c>
    </row>
    <row r="195" ht="15.75" customHeight="1">
      <c r="A195" s="43">
        <v>191.0</v>
      </c>
      <c r="B195" s="14">
        <f>191*Plan!$C$8</f>
        <v>1910000</v>
      </c>
      <c r="C195" s="43" t="str">
        <f t="array" ref="C195">INDEX(Plan!$B$13:$B$23,MATCH(B195,Plan!$C$13:$C$23,1))</f>
        <v>Chairman's Circle</v>
      </c>
      <c r="D195" s="24">
        <f>IF(A195&lt;=100,Plan!$C$5+(Plan!$C$6-Plan!$C$5)*(A195-1)/99,IF(A195&lt;=200,Plan!$C$6+(Plan!$C$7-Plan!$C$6)*(A195-100)/100,Plan!$C$7))</f>
        <v>0.1491</v>
      </c>
      <c r="E195" s="25">
        <f>D195*Plan!$C$8</f>
        <v>1491</v>
      </c>
      <c r="F195" s="44">
        <f t="shared" si="3"/>
        <v>190</v>
      </c>
      <c r="G195" s="14">
        <f t="shared" si="4"/>
        <v>0</v>
      </c>
      <c r="H195" s="41">
        <f t="shared" si="1"/>
        <v>1681</v>
      </c>
      <c r="I195" s="40">
        <f t="shared" si="2"/>
        <v>321281</v>
      </c>
      <c r="K195" s="42">
        <f>SUMPRODUCT((B195&gt;=Plan!$C$13:$C$23)*Plan!$D$13:$D$23)</f>
        <v>36500</v>
      </c>
    </row>
    <row r="196" ht="15.75" customHeight="1">
      <c r="A196" s="43">
        <v>192.0</v>
      </c>
      <c r="B196" s="14">
        <f>192*Plan!$C$8</f>
        <v>1920000</v>
      </c>
      <c r="C196" s="43" t="str">
        <f t="array" ref="C196">INDEX(Plan!$B$13:$B$23,MATCH(B196,Plan!$C$13:$C$23,1))</f>
        <v>Chairman's Circle</v>
      </c>
      <c r="D196" s="24">
        <f>IF(A196&lt;=100,Plan!$C$5+(Plan!$C$6-Plan!$C$5)*(A196-1)/99,IF(A196&lt;=200,Plan!$C$6+(Plan!$C$7-Plan!$C$6)*(A196-100)/100,Plan!$C$7))</f>
        <v>0.1492</v>
      </c>
      <c r="E196" s="25">
        <f>D196*Plan!$C$8</f>
        <v>1492</v>
      </c>
      <c r="F196" s="44">
        <f t="shared" si="3"/>
        <v>191</v>
      </c>
      <c r="G196" s="14">
        <f t="shared" si="4"/>
        <v>0</v>
      </c>
      <c r="H196" s="41">
        <f t="shared" si="1"/>
        <v>1683</v>
      </c>
      <c r="I196" s="40">
        <f t="shared" si="2"/>
        <v>322964</v>
      </c>
      <c r="K196" s="42">
        <f>SUMPRODUCT((B196&gt;=Plan!$C$13:$C$23)*Plan!$D$13:$D$23)</f>
        <v>36500</v>
      </c>
    </row>
    <row r="197" ht="15.75" customHeight="1">
      <c r="A197" s="43">
        <v>193.0</v>
      </c>
      <c r="B197" s="14">
        <f>193*Plan!$C$8</f>
        <v>1930000</v>
      </c>
      <c r="C197" s="43" t="str">
        <f t="array" ref="C197">INDEX(Plan!$B$13:$B$23,MATCH(B197,Plan!$C$13:$C$23,1))</f>
        <v>Chairman's Circle</v>
      </c>
      <c r="D197" s="24">
        <f>IF(A197&lt;=100,Plan!$C$5+(Plan!$C$6-Plan!$C$5)*(A197-1)/99,IF(A197&lt;=200,Plan!$C$6+(Plan!$C$7-Plan!$C$6)*(A197-100)/100,Plan!$C$7))</f>
        <v>0.1493</v>
      </c>
      <c r="E197" s="25">
        <f>D197*Plan!$C$8</f>
        <v>1493</v>
      </c>
      <c r="F197" s="44">
        <f t="shared" si="3"/>
        <v>192</v>
      </c>
      <c r="G197" s="14">
        <f t="shared" si="4"/>
        <v>0</v>
      </c>
      <c r="H197" s="41">
        <f t="shared" si="1"/>
        <v>1685</v>
      </c>
      <c r="I197" s="40">
        <f t="shared" si="2"/>
        <v>324649</v>
      </c>
      <c r="K197" s="42">
        <f>SUMPRODUCT((B197&gt;=Plan!$C$13:$C$23)*Plan!$D$13:$D$23)</f>
        <v>36500</v>
      </c>
    </row>
    <row r="198" ht="15.75" customHeight="1">
      <c r="A198" s="43">
        <v>194.0</v>
      </c>
      <c r="B198" s="14">
        <f>194*Plan!$C$8</f>
        <v>1940000</v>
      </c>
      <c r="C198" s="43" t="str">
        <f t="array" ref="C198">INDEX(Plan!$B$13:$B$23,MATCH(B198,Plan!$C$13:$C$23,1))</f>
        <v>Chairman's Circle</v>
      </c>
      <c r="D198" s="24">
        <f>IF(A198&lt;=100,Plan!$C$5+(Plan!$C$6-Plan!$C$5)*(A198-1)/99,IF(A198&lt;=200,Plan!$C$6+(Plan!$C$7-Plan!$C$6)*(A198-100)/100,Plan!$C$7))</f>
        <v>0.1494</v>
      </c>
      <c r="E198" s="25">
        <f>D198*Plan!$C$8</f>
        <v>1494</v>
      </c>
      <c r="F198" s="44">
        <f t="shared" si="3"/>
        <v>193</v>
      </c>
      <c r="G198" s="14">
        <f t="shared" si="4"/>
        <v>0</v>
      </c>
      <c r="H198" s="41">
        <f t="shared" si="1"/>
        <v>1687</v>
      </c>
      <c r="I198" s="40">
        <f t="shared" si="2"/>
        <v>326336</v>
      </c>
      <c r="K198" s="42">
        <f>SUMPRODUCT((B198&gt;=Plan!$C$13:$C$23)*Plan!$D$13:$D$23)</f>
        <v>36500</v>
      </c>
    </row>
    <row r="199" ht="15.75" customHeight="1">
      <c r="A199" s="43">
        <v>195.0</v>
      </c>
      <c r="B199" s="14">
        <f>195*Plan!$C$8</f>
        <v>1950000</v>
      </c>
      <c r="C199" s="43" t="str">
        <f t="array" ref="C199">INDEX(Plan!$B$13:$B$23,MATCH(B199,Plan!$C$13:$C$23,1))</f>
        <v>Chairman's Circle</v>
      </c>
      <c r="D199" s="24">
        <f>IF(A199&lt;=100,Plan!$C$5+(Plan!$C$6-Plan!$C$5)*(A199-1)/99,IF(A199&lt;=200,Plan!$C$6+(Plan!$C$7-Plan!$C$6)*(A199-100)/100,Plan!$C$7))</f>
        <v>0.1495</v>
      </c>
      <c r="E199" s="25">
        <f>D199*Plan!$C$8</f>
        <v>1495</v>
      </c>
      <c r="F199" s="44">
        <f t="shared" si="3"/>
        <v>194</v>
      </c>
      <c r="G199" s="14">
        <f t="shared" si="4"/>
        <v>0</v>
      </c>
      <c r="H199" s="41">
        <f t="shared" si="1"/>
        <v>1689</v>
      </c>
      <c r="I199" s="40">
        <f t="shared" si="2"/>
        <v>328025</v>
      </c>
      <c r="K199" s="42">
        <f>SUMPRODUCT((B199&gt;=Plan!$C$13:$C$23)*Plan!$D$13:$D$23)</f>
        <v>36500</v>
      </c>
    </row>
    <row r="200" ht="15.75" customHeight="1">
      <c r="A200" s="43">
        <v>196.0</v>
      </c>
      <c r="B200" s="14">
        <f>196*Plan!$C$8</f>
        <v>1960000</v>
      </c>
      <c r="C200" s="43" t="str">
        <f t="array" ref="C200">INDEX(Plan!$B$13:$B$23,MATCH(B200,Plan!$C$13:$C$23,1))</f>
        <v>Chairman's Circle</v>
      </c>
      <c r="D200" s="24">
        <f>IF(A200&lt;=100,Plan!$C$5+(Plan!$C$6-Plan!$C$5)*(A200-1)/99,IF(A200&lt;=200,Plan!$C$6+(Plan!$C$7-Plan!$C$6)*(A200-100)/100,Plan!$C$7))</f>
        <v>0.1496</v>
      </c>
      <c r="E200" s="25">
        <f>D200*Plan!$C$8</f>
        <v>1496</v>
      </c>
      <c r="F200" s="44">
        <f t="shared" si="3"/>
        <v>195</v>
      </c>
      <c r="G200" s="14">
        <f t="shared" si="4"/>
        <v>0</v>
      </c>
      <c r="H200" s="41">
        <f t="shared" si="1"/>
        <v>1691</v>
      </c>
      <c r="I200" s="40">
        <f t="shared" si="2"/>
        <v>329716</v>
      </c>
      <c r="K200" s="42">
        <f>SUMPRODUCT((B200&gt;=Plan!$C$13:$C$23)*Plan!$D$13:$D$23)</f>
        <v>36500</v>
      </c>
    </row>
    <row r="201" ht="15.75" customHeight="1">
      <c r="A201" s="43">
        <v>197.0</v>
      </c>
      <c r="B201" s="14">
        <f>197*Plan!$C$8</f>
        <v>1970000</v>
      </c>
      <c r="C201" s="43" t="str">
        <f t="array" ref="C201">INDEX(Plan!$B$13:$B$23,MATCH(B201,Plan!$C$13:$C$23,1))</f>
        <v>Chairman's Circle</v>
      </c>
      <c r="D201" s="24">
        <f>IF(A201&lt;=100,Plan!$C$5+(Plan!$C$6-Plan!$C$5)*(A201-1)/99,IF(A201&lt;=200,Plan!$C$6+(Plan!$C$7-Plan!$C$6)*(A201-100)/100,Plan!$C$7))</f>
        <v>0.1497</v>
      </c>
      <c r="E201" s="25">
        <f>D201*Plan!$C$8</f>
        <v>1497</v>
      </c>
      <c r="F201" s="44">
        <f t="shared" si="3"/>
        <v>196</v>
      </c>
      <c r="G201" s="14">
        <f t="shared" si="4"/>
        <v>0</v>
      </c>
      <c r="H201" s="41">
        <f t="shared" si="1"/>
        <v>1693</v>
      </c>
      <c r="I201" s="40">
        <f t="shared" si="2"/>
        <v>331409</v>
      </c>
      <c r="K201" s="42">
        <f>SUMPRODUCT((B201&gt;=Plan!$C$13:$C$23)*Plan!$D$13:$D$23)</f>
        <v>36500</v>
      </c>
    </row>
    <row r="202" ht="15.75" customHeight="1">
      <c r="A202" s="43">
        <v>198.0</v>
      </c>
      <c r="B202" s="14">
        <f>198*Plan!$C$8</f>
        <v>1980000</v>
      </c>
      <c r="C202" s="43" t="str">
        <f t="array" ref="C202">INDEX(Plan!$B$13:$B$23,MATCH(B202,Plan!$C$13:$C$23,1))</f>
        <v>Chairman's Circle</v>
      </c>
      <c r="D202" s="24">
        <f>IF(A202&lt;=100,Plan!$C$5+(Plan!$C$6-Plan!$C$5)*(A202-1)/99,IF(A202&lt;=200,Plan!$C$6+(Plan!$C$7-Plan!$C$6)*(A202-100)/100,Plan!$C$7))</f>
        <v>0.1498</v>
      </c>
      <c r="E202" s="25">
        <f>D202*Plan!$C$8</f>
        <v>1498</v>
      </c>
      <c r="F202" s="44">
        <f t="shared" si="3"/>
        <v>197</v>
      </c>
      <c r="G202" s="14">
        <f t="shared" si="4"/>
        <v>0</v>
      </c>
      <c r="H202" s="41">
        <f t="shared" si="1"/>
        <v>1695</v>
      </c>
      <c r="I202" s="40">
        <f t="shared" si="2"/>
        <v>333104</v>
      </c>
      <c r="K202" s="42">
        <f>SUMPRODUCT((B202&gt;=Plan!$C$13:$C$23)*Plan!$D$13:$D$23)</f>
        <v>36500</v>
      </c>
    </row>
    <row r="203" ht="15.75" customHeight="1">
      <c r="A203" s="43">
        <v>199.0</v>
      </c>
      <c r="B203" s="14">
        <f>199*Plan!$C$8</f>
        <v>1990000</v>
      </c>
      <c r="C203" s="43" t="str">
        <f t="array" ref="C203">INDEX(Plan!$B$13:$B$23,MATCH(B203,Plan!$C$13:$C$23,1))</f>
        <v>Chairman's Circle</v>
      </c>
      <c r="D203" s="24">
        <f>IF(A203&lt;=100,Plan!$C$5+(Plan!$C$6-Plan!$C$5)*(A203-1)/99,IF(A203&lt;=200,Plan!$C$6+(Plan!$C$7-Plan!$C$6)*(A203-100)/100,Plan!$C$7))</f>
        <v>0.1499</v>
      </c>
      <c r="E203" s="25">
        <f>D203*Plan!$C$8</f>
        <v>1499</v>
      </c>
      <c r="F203" s="44">
        <f t="shared" si="3"/>
        <v>198</v>
      </c>
      <c r="G203" s="14">
        <f t="shared" si="4"/>
        <v>0</v>
      </c>
      <c r="H203" s="41">
        <f t="shared" si="1"/>
        <v>1697</v>
      </c>
      <c r="I203" s="40">
        <f t="shared" si="2"/>
        <v>334801</v>
      </c>
      <c r="K203" s="42">
        <f>SUMPRODUCT((B203&gt;=Plan!$C$13:$C$23)*Plan!$D$13:$D$23)</f>
        <v>36500</v>
      </c>
    </row>
    <row r="204" ht="15.75" customHeight="1">
      <c r="A204" s="43">
        <v>200.0</v>
      </c>
      <c r="B204" s="14">
        <f>200*Plan!$C$8</f>
        <v>2000000</v>
      </c>
      <c r="C204" s="43" t="str">
        <f t="array" ref="C204">INDEX(Plan!$B$13:$B$23,MATCH(B204,Plan!$C$13:$C$23,1))</f>
        <v>Pinnacle</v>
      </c>
      <c r="D204" s="24">
        <f>IF(A204&lt;=100,Plan!$C$5+(Plan!$C$6-Plan!$C$5)*(A204-1)/99,IF(A204&lt;=200,Plan!$C$6+(Plan!$C$7-Plan!$C$6)*(A204-100)/100,Plan!$C$7))</f>
        <v>0.15</v>
      </c>
      <c r="E204" s="25">
        <f>D204*Plan!$C$8</f>
        <v>1500</v>
      </c>
      <c r="F204" s="44">
        <f t="shared" si="3"/>
        <v>199</v>
      </c>
      <c r="G204" s="14">
        <f t="shared" si="4"/>
        <v>15000</v>
      </c>
      <c r="H204" s="41">
        <f t="shared" si="1"/>
        <v>16699</v>
      </c>
      <c r="I204" s="40">
        <f t="shared" si="2"/>
        <v>351500</v>
      </c>
      <c r="K204" s="42">
        <f>SUMPRODUCT((B204&gt;=Plan!$C$13:$C$23)*Plan!$D$13:$D$23)</f>
        <v>51500</v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conditionalFormatting sqref="A5:I204">
    <cfRule type="expression" dxfId="0" priority="1">
      <formula>$G5&gt;0</formula>
    </cfRule>
  </conditionalFormatting>
  <printOptions/>
  <pageMargins bottom="1.0" footer="0.0" header="0.0" left="0.75" right="0.75" top="1.0"/>
  <pageSetup paperSize="9" orientation="portrait"/>
  <drawing r:id="rId1"/>
</worksheet>
</file>